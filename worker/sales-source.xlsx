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che Interiores\Documents\"/>
    </mc:Choice>
  </mc:AlternateContent>
  <xr:revisionPtr revIDLastSave="0" documentId="8_{AA2F87F0-A62A-4856-BE30-F9B406EC80D3}" xr6:coauthVersionLast="47" xr6:coauthVersionMax="47" xr10:uidLastSave="{00000000-0000-0000-0000-000000000000}"/>
  <bookViews>
    <workbookView xWindow="-108" yWindow="-108" windowWidth="23256" windowHeight="12456" activeTab="1" xr2:uid="{E2BE75CC-EF05-48D9-A3C3-6483C1EC4CF2}"/>
  </bookViews>
  <sheets>
    <sheet name="Presupuesto 26" sheetId="3" r:id="rId1"/>
    <sheet name="Oct. 26" sheetId="11" r:id="rId2"/>
    <sheet name="Sep. 26" sheetId="10" r:id="rId3"/>
    <sheet name="Ago. 26" sheetId="9" r:id="rId4"/>
    <sheet name="Jul. 26" sheetId="8" r:id="rId5"/>
    <sheet name="Jun. 26" sheetId="7" r:id="rId6"/>
    <sheet name="May. 26" sheetId="6" r:id="rId7"/>
    <sheet name="Abr. 26" sheetId="5" r:id="rId8"/>
    <sheet name="Mzo. 26" sheetId="4" r:id="rId9"/>
    <sheet name="Feb. 26" sheetId="2" r:id="rId10"/>
    <sheet name="Ene. 26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4" i="10" l="1"/>
  <c r="BX5" i="11"/>
  <c r="CB5" i="11" s="1"/>
  <c r="BX6" i="11"/>
  <c r="CB6" i="11" s="1"/>
  <c r="BX7" i="11"/>
  <c r="CB7" i="11" s="1"/>
  <c r="BX8" i="11"/>
  <c r="CB8" i="11" s="1"/>
  <c r="BX9" i="11"/>
  <c r="CB9" i="11" s="1"/>
  <c r="BX10" i="11"/>
  <c r="CB10" i="11" s="1"/>
  <c r="BX11" i="11"/>
  <c r="CB11" i="11" s="1"/>
  <c r="BX12" i="11"/>
  <c r="CB12" i="11" s="1"/>
  <c r="BX13" i="11"/>
  <c r="CB13" i="11" s="1"/>
  <c r="BX14" i="11"/>
  <c r="CB14" i="11" s="1"/>
  <c r="BX15" i="11"/>
  <c r="CB15" i="11" s="1"/>
  <c r="BX16" i="11"/>
  <c r="CB16" i="11" s="1"/>
  <c r="BX17" i="11"/>
  <c r="CB17" i="11" s="1"/>
  <c r="BX18" i="11"/>
  <c r="CB18" i="11" s="1"/>
  <c r="BX19" i="11"/>
  <c r="CB19" i="11" s="1"/>
  <c r="BX20" i="11"/>
  <c r="CB20" i="11" s="1"/>
  <c r="BT5" i="11"/>
  <c r="BT6" i="11"/>
  <c r="BT7" i="11"/>
  <c r="BT8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X4" i="11"/>
  <c r="CB4" i="11" s="1"/>
  <c r="BT4" i="11"/>
  <c r="BQ22" i="11"/>
  <c r="BN22" i="11"/>
  <c r="BM22" i="11"/>
  <c r="BR20" i="11"/>
  <c r="BO20" i="11"/>
  <c r="BS19" i="11"/>
  <c r="BR19" i="11"/>
  <c r="BP19" i="11"/>
  <c r="BO19" i="11"/>
  <c r="BS18" i="11"/>
  <c r="BR18" i="11"/>
  <c r="BP18" i="11"/>
  <c r="BO18" i="11"/>
  <c r="BS17" i="11"/>
  <c r="BR17" i="11"/>
  <c r="BP17" i="11"/>
  <c r="BO17" i="11"/>
  <c r="BR16" i="11"/>
  <c r="BO16" i="11"/>
  <c r="BR15" i="11"/>
  <c r="BO15" i="11"/>
  <c r="BS14" i="11"/>
  <c r="BR14" i="11"/>
  <c r="BP14" i="11"/>
  <c r="BO14" i="11"/>
  <c r="BS13" i="11"/>
  <c r="BR13" i="11"/>
  <c r="BP13" i="11"/>
  <c r="BO13" i="11"/>
  <c r="BS12" i="11"/>
  <c r="BR12" i="11"/>
  <c r="BP12" i="11"/>
  <c r="BO12" i="11"/>
  <c r="BS11" i="11"/>
  <c r="BR11" i="11"/>
  <c r="BP11" i="11"/>
  <c r="BO11" i="11"/>
  <c r="BS10" i="11"/>
  <c r="BR10" i="11"/>
  <c r="BP10" i="11"/>
  <c r="BO10" i="11"/>
  <c r="BS9" i="11"/>
  <c r="BR9" i="11"/>
  <c r="BP9" i="11"/>
  <c r="BO9" i="11"/>
  <c r="BS8" i="11"/>
  <c r="BR8" i="11"/>
  <c r="BP8" i="11"/>
  <c r="BO8" i="11"/>
  <c r="BS7" i="11"/>
  <c r="BR7" i="11"/>
  <c r="BP7" i="11"/>
  <c r="BO7" i="11"/>
  <c r="BS6" i="11"/>
  <c r="BR6" i="11"/>
  <c r="BP6" i="11"/>
  <c r="BO6" i="11"/>
  <c r="BR5" i="11"/>
  <c r="BO5" i="11"/>
  <c r="BS4" i="11"/>
  <c r="BR4" i="11"/>
  <c r="BP4" i="11"/>
  <c r="BO4" i="11"/>
  <c r="BU4" i="11" s="1"/>
  <c r="CA4" i="11" s="1"/>
  <c r="BX24" i="11"/>
  <c r="CB24" i="11" s="1"/>
  <c r="BU24" i="11"/>
  <c r="CA24" i="11" s="1"/>
  <c r="BJ22" i="11"/>
  <c r="BG22" i="11"/>
  <c r="BF22" i="11"/>
  <c r="BC22" i="11"/>
  <c r="AZ22" i="11"/>
  <c r="AY22" i="11"/>
  <c r="AV22" i="11"/>
  <c r="AS22" i="11"/>
  <c r="AR22" i="11"/>
  <c r="AO22" i="11"/>
  <c r="AL22" i="11"/>
  <c r="AK22" i="11"/>
  <c r="AH22" i="11"/>
  <c r="AE22" i="11"/>
  <c r="AD22" i="11"/>
  <c r="AA22" i="11"/>
  <c r="X22" i="11"/>
  <c r="W22" i="11"/>
  <c r="T22" i="11"/>
  <c r="Q22" i="11"/>
  <c r="P22" i="11"/>
  <c r="M22" i="11"/>
  <c r="I22" i="11"/>
  <c r="F22" i="11"/>
  <c r="C22" i="11"/>
  <c r="B22" i="11"/>
  <c r="BK20" i="11"/>
  <c r="BH20" i="11"/>
  <c r="BD20" i="11"/>
  <c r="BA20" i="11"/>
  <c r="AW20" i="11"/>
  <c r="AT20" i="11"/>
  <c r="AP20" i="11"/>
  <c r="AM20" i="11"/>
  <c r="AI20" i="11"/>
  <c r="AF20" i="11"/>
  <c r="AB20" i="11"/>
  <c r="Y20" i="11"/>
  <c r="U20" i="11"/>
  <c r="R20" i="11"/>
  <c r="N20" i="11"/>
  <c r="J20" i="11"/>
  <c r="G20" i="11"/>
  <c r="D20" i="11"/>
  <c r="BU19" i="11"/>
  <c r="CA19" i="11" s="1"/>
  <c r="BL19" i="11"/>
  <c r="BK19" i="11"/>
  <c r="BI19" i="11"/>
  <c r="BH19" i="11"/>
  <c r="BE19" i="11"/>
  <c r="BD19" i="11"/>
  <c r="BB19" i="11"/>
  <c r="BA19" i="11"/>
  <c r="AX19" i="11"/>
  <c r="AW19" i="11"/>
  <c r="AU19" i="11"/>
  <c r="AT19" i="11"/>
  <c r="AQ19" i="11"/>
  <c r="AP19" i="11"/>
  <c r="AN19" i="11"/>
  <c r="AM19" i="11"/>
  <c r="AJ19" i="11"/>
  <c r="AI19" i="11"/>
  <c r="AG19" i="11"/>
  <c r="AF19" i="11"/>
  <c r="AC19" i="11"/>
  <c r="AB19" i="11"/>
  <c r="Z19" i="11"/>
  <c r="Y19" i="11"/>
  <c r="V19" i="11"/>
  <c r="U19" i="11"/>
  <c r="S19" i="11"/>
  <c r="R19" i="11"/>
  <c r="O19" i="11"/>
  <c r="N19" i="11"/>
  <c r="L19" i="11"/>
  <c r="K19" i="11"/>
  <c r="H19" i="11"/>
  <c r="G19" i="11"/>
  <c r="E19" i="11"/>
  <c r="D19" i="11"/>
  <c r="BU18" i="11"/>
  <c r="CA18" i="11" s="1"/>
  <c r="BL18" i="11"/>
  <c r="BK18" i="11"/>
  <c r="BI18" i="11"/>
  <c r="BH18" i="11"/>
  <c r="BE18" i="11"/>
  <c r="BD18" i="11"/>
  <c r="BB18" i="11"/>
  <c r="BA18" i="11"/>
  <c r="AX18" i="11"/>
  <c r="AW18" i="11"/>
  <c r="AU18" i="11"/>
  <c r="AT18" i="11"/>
  <c r="AQ18" i="11"/>
  <c r="AP18" i="11"/>
  <c r="AN18" i="11"/>
  <c r="AM18" i="11"/>
  <c r="AJ18" i="11"/>
  <c r="AI18" i="11"/>
  <c r="AG18" i="11"/>
  <c r="AF18" i="11"/>
  <c r="AC18" i="11"/>
  <c r="AB18" i="11"/>
  <c r="Z18" i="11"/>
  <c r="Y18" i="11"/>
  <c r="V18" i="11"/>
  <c r="U18" i="11"/>
  <c r="S18" i="11"/>
  <c r="R18" i="11"/>
  <c r="O18" i="11"/>
  <c r="N18" i="11"/>
  <c r="L18" i="11"/>
  <c r="K18" i="11"/>
  <c r="H18" i="11"/>
  <c r="G18" i="11"/>
  <c r="E18" i="11"/>
  <c r="D18" i="11"/>
  <c r="BU17" i="11"/>
  <c r="CA17" i="11" s="1"/>
  <c r="BL17" i="11"/>
  <c r="BK17" i="11"/>
  <c r="BI17" i="11"/>
  <c r="BH17" i="11"/>
  <c r="BE17" i="11"/>
  <c r="BD17" i="11"/>
  <c r="BB17" i="11"/>
  <c r="BA17" i="11"/>
  <c r="AX17" i="11"/>
  <c r="AW17" i="11"/>
  <c r="AU17" i="11"/>
  <c r="AT17" i="11"/>
  <c r="AQ17" i="11"/>
  <c r="AP17" i="11"/>
  <c r="AN17" i="11"/>
  <c r="AM17" i="11"/>
  <c r="AJ17" i="11"/>
  <c r="AI17" i="11"/>
  <c r="AG17" i="11"/>
  <c r="AF17" i="11"/>
  <c r="AC17" i="11"/>
  <c r="AB17" i="11"/>
  <c r="Z17" i="11"/>
  <c r="Y17" i="11"/>
  <c r="V17" i="11"/>
  <c r="U17" i="11"/>
  <c r="S17" i="11"/>
  <c r="R17" i="11"/>
  <c r="O17" i="11"/>
  <c r="N17" i="11"/>
  <c r="L17" i="11"/>
  <c r="K17" i="11"/>
  <c r="H17" i="11"/>
  <c r="G17" i="11"/>
  <c r="E17" i="11"/>
  <c r="D17" i="11"/>
  <c r="BU16" i="11"/>
  <c r="CA16" i="11" s="1"/>
  <c r="BK16" i="11"/>
  <c r="BH16" i="11"/>
  <c r="BD16" i="11"/>
  <c r="BA16" i="11"/>
  <c r="AW16" i="11"/>
  <c r="AT16" i="11"/>
  <c r="AP16" i="11"/>
  <c r="AM16" i="11"/>
  <c r="AI16" i="11"/>
  <c r="AF16" i="11"/>
  <c r="AB16" i="11"/>
  <c r="Y16" i="11"/>
  <c r="U16" i="11"/>
  <c r="R16" i="11"/>
  <c r="O16" i="11"/>
  <c r="N16" i="11"/>
  <c r="L16" i="11"/>
  <c r="K16" i="11"/>
  <c r="H16" i="11"/>
  <c r="G16" i="11"/>
  <c r="E16" i="11"/>
  <c r="D16" i="11"/>
  <c r="BU15" i="11"/>
  <c r="CA15" i="11" s="1"/>
  <c r="BK15" i="11"/>
  <c r="BH15" i="11"/>
  <c r="BD15" i="11"/>
  <c r="BA15" i="11"/>
  <c r="AW15" i="11"/>
  <c r="AT15" i="11"/>
  <c r="AP15" i="11"/>
  <c r="AM15" i="11"/>
  <c r="AI15" i="11"/>
  <c r="AF15" i="11"/>
  <c r="AB15" i="11"/>
  <c r="Y15" i="11"/>
  <c r="U15" i="11"/>
  <c r="R15" i="11"/>
  <c r="N15" i="11"/>
  <c r="K15" i="11"/>
  <c r="G15" i="11"/>
  <c r="D15" i="11"/>
  <c r="BU14" i="11"/>
  <c r="CA14" i="11" s="1"/>
  <c r="BL14" i="11"/>
  <c r="BK14" i="11"/>
  <c r="BI14" i="11"/>
  <c r="BH14" i="11"/>
  <c r="BE14" i="11"/>
  <c r="BD14" i="11"/>
  <c r="BB14" i="11"/>
  <c r="BA14" i="11"/>
  <c r="AX14" i="11"/>
  <c r="AW14" i="11"/>
  <c r="AU14" i="11"/>
  <c r="AT14" i="11"/>
  <c r="AQ14" i="11"/>
  <c r="AP14" i="11"/>
  <c r="AN14" i="11"/>
  <c r="AM14" i="11"/>
  <c r="AJ14" i="11"/>
  <c r="AI14" i="11"/>
  <c r="AG14" i="11"/>
  <c r="AF14" i="11"/>
  <c r="AC14" i="11"/>
  <c r="AB14" i="11"/>
  <c r="Z14" i="11"/>
  <c r="Y14" i="11"/>
  <c r="V14" i="11"/>
  <c r="U14" i="11"/>
  <c r="S14" i="11"/>
  <c r="R14" i="11"/>
  <c r="O14" i="11"/>
  <c r="N14" i="11"/>
  <c r="L14" i="11"/>
  <c r="K14" i="11"/>
  <c r="H14" i="11"/>
  <c r="G14" i="11"/>
  <c r="E14" i="11"/>
  <c r="D14" i="11"/>
  <c r="BU13" i="11"/>
  <c r="CA13" i="11" s="1"/>
  <c r="BL13" i="11"/>
  <c r="BK13" i="11"/>
  <c r="BI13" i="11"/>
  <c r="BH13" i="11"/>
  <c r="BE13" i="11"/>
  <c r="BD13" i="11"/>
  <c r="BB13" i="11"/>
  <c r="BA13" i="11"/>
  <c r="AX13" i="11"/>
  <c r="AW13" i="11"/>
  <c r="AU13" i="11"/>
  <c r="AT13" i="11"/>
  <c r="AQ13" i="11"/>
  <c r="AP13" i="11"/>
  <c r="AN13" i="11"/>
  <c r="AM13" i="11"/>
  <c r="AJ13" i="11"/>
  <c r="AI13" i="11"/>
  <c r="AG13" i="11"/>
  <c r="AF13" i="11"/>
  <c r="AC13" i="11"/>
  <c r="AB13" i="11"/>
  <c r="Z13" i="11"/>
  <c r="Y13" i="11"/>
  <c r="V13" i="11"/>
  <c r="U13" i="11"/>
  <c r="S13" i="11"/>
  <c r="R13" i="11"/>
  <c r="O13" i="11"/>
  <c r="N13" i="11"/>
  <c r="L13" i="11"/>
  <c r="K13" i="11"/>
  <c r="H13" i="11"/>
  <c r="G13" i="11"/>
  <c r="E13" i="11"/>
  <c r="D13" i="11"/>
  <c r="BU12" i="11"/>
  <c r="CA12" i="11" s="1"/>
  <c r="BL12" i="11"/>
  <c r="BK12" i="11"/>
  <c r="BI12" i="11"/>
  <c r="BH12" i="11"/>
  <c r="BE12" i="11"/>
  <c r="BD12" i="11"/>
  <c r="BB12" i="11"/>
  <c r="BA12" i="11"/>
  <c r="AX12" i="11"/>
  <c r="AW12" i="11"/>
  <c r="AU12" i="11"/>
  <c r="AT12" i="11"/>
  <c r="AQ12" i="11"/>
  <c r="AP12" i="11"/>
  <c r="AN12" i="11"/>
  <c r="AM12" i="11"/>
  <c r="BU11" i="11"/>
  <c r="CA11" i="11" s="1"/>
  <c r="BL11" i="11"/>
  <c r="BK11" i="11"/>
  <c r="BI11" i="11"/>
  <c r="BH11" i="11"/>
  <c r="BE11" i="11"/>
  <c r="BD11" i="11"/>
  <c r="BB11" i="11"/>
  <c r="BA11" i="11"/>
  <c r="AX11" i="11"/>
  <c r="AW11" i="11"/>
  <c r="AU11" i="11"/>
  <c r="AT11" i="11"/>
  <c r="AQ11" i="11"/>
  <c r="AP11" i="11"/>
  <c r="AN11" i="11"/>
  <c r="AM11" i="11"/>
  <c r="AJ11" i="11"/>
  <c r="AI11" i="11"/>
  <c r="AG11" i="11"/>
  <c r="AF11" i="11"/>
  <c r="AC11" i="11"/>
  <c r="AB11" i="11"/>
  <c r="Z11" i="11"/>
  <c r="Y11" i="11"/>
  <c r="V11" i="11"/>
  <c r="U11" i="11"/>
  <c r="S11" i="11"/>
  <c r="R11" i="11"/>
  <c r="O11" i="11"/>
  <c r="N11" i="11"/>
  <c r="L11" i="11"/>
  <c r="K11" i="11"/>
  <c r="H11" i="11"/>
  <c r="G11" i="11"/>
  <c r="E11" i="11"/>
  <c r="D11" i="11"/>
  <c r="BU10" i="11"/>
  <c r="CA10" i="11" s="1"/>
  <c r="BL10" i="11"/>
  <c r="BK10" i="11"/>
  <c r="BI10" i="11"/>
  <c r="BH10" i="11"/>
  <c r="BE10" i="11"/>
  <c r="BD10" i="11"/>
  <c r="BB10" i="11"/>
  <c r="BA10" i="11"/>
  <c r="AX10" i="11"/>
  <c r="AW10" i="11"/>
  <c r="AU10" i="11"/>
  <c r="AT10" i="11"/>
  <c r="AQ10" i="11"/>
  <c r="AP10" i="11"/>
  <c r="AN10" i="11"/>
  <c r="AM10" i="11"/>
  <c r="AJ10" i="11"/>
  <c r="AI10" i="11"/>
  <c r="AG10" i="11"/>
  <c r="AF10" i="11"/>
  <c r="AC10" i="11"/>
  <c r="AB10" i="11"/>
  <c r="Z10" i="11"/>
  <c r="Y10" i="11"/>
  <c r="V10" i="11"/>
  <c r="U10" i="11"/>
  <c r="S10" i="11"/>
  <c r="R10" i="11"/>
  <c r="O10" i="11"/>
  <c r="N10" i="11"/>
  <c r="L10" i="11"/>
  <c r="K10" i="11"/>
  <c r="H10" i="11"/>
  <c r="G10" i="11"/>
  <c r="E10" i="11"/>
  <c r="D10" i="11"/>
  <c r="BU9" i="11"/>
  <c r="CA9" i="11" s="1"/>
  <c r="BL9" i="11"/>
  <c r="BK9" i="11"/>
  <c r="BI9" i="11"/>
  <c r="BH9" i="11"/>
  <c r="BE9" i="11"/>
  <c r="BD9" i="11"/>
  <c r="BB9" i="11"/>
  <c r="BA9" i="11"/>
  <c r="AX9" i="11"/>
  <c r="AW9" i="11"/>
  <c r="AU9" i="11"/>
  <c r="AT9" i="11"/>
  <c r="AQ9" i="11"/>
  <c r="AP9" i="11"/>
  <c r="AN9" i="11"/>
  <c r="AM9" i="11"/>
  <c r="AJ9" i="11"/>
  <c r="AI9" i="11"/>
  <c r="AG9" i="11"/>
  <c r="AF9" i="11"/>
  <c r="AC9" i="11"/>
  <c r="AB9" i="11"/>
  <c r="Z9" i="11"/>
  <c r="Y9" i="11"/>
  <c r="V9" i="11"/>
  <c r="U9" i="11"/>
  <c r="S9" i="11"/>
  <c r="R9" i="11"/>
  <c r="O9" i="11"/>
  <c r="N9" i="11"/>
  <c r="L9" i="11"/>
  <c r="K9" i="11"/>
  <c r="H9" i="11"/>
  <c r="G9" i="11"/>
  <c r="E9" i="11"/>
  <c r="D9" i="11"/>
  <c r="BU8" i="11"/>
  <c r="CA8" i="11" s="1"/>
  <c r="BL8" i="11"/>
  <c r="BK8" i="11"/>
  <c r="BI8" i="11"/>
  <c r="BH8" i="11"/>
  <c r="BE8" i="11"/>
  <c r="BD8" i="11"/>
  <c r="BB8" i="11"/>
  <c r="BA8" i="11"/>
  <c r="AX8" i="11"/>
  <c r="AW8" i="11"/>
  <c r="AU8" i="11"/>
  <c r="AT8" i="11"/>
  <c r="AQ8" i="11"/>
  <c r="AP8" i="11"/>
  <c r="AN8" i="11"/>
  <c r="AM8" i="11"/>
  <c r="AJ8" i="11"/>
  <c r="AI8" i="11"/>
  <c r="AG8" i="11"/>
  <c r="AF8" i="11"/>
  <c r="AC8" i="11"/>
  <c r="AB8" i="11"/>
  <c r="Z8" i="11"/>
  <c r="Y8" i="11"/>
  <c r="V8" i="11"/>
  <c r="U8" i="11"/>
  <c r="S8" i="11"/>
  <c r="R8" i="11"/>
  <c r="O8" i="11"/>
  <c r="N8" i="11"/>
  <c r="L8" i="11"/>
  <c r="K8" i="11"/>
  <c r="H8" i="11"/>
  <c r="G8" i="11"/>
  <c r="E8" i="11"/>
  <c r="D8" i="11"/>
  <c r="BU7" i="11"/>
  <c r="CA7" i="11" s="1"/>
  <c r="BL7" i="11"/>
  <c r="BK7" i="11"/>
  <c r="BI7" i="11"/>
  <c r="BH7" i="11"/>
  <c r="BE7" i="11"/>
  <c r="BD7" i="11"/>
  <c r="BB7" i="11"/>
  <c r="BA7" i="11"/>
  <c r="AX7" i="11"/>
  <c r="AW7" i="11"/>
  <c r="AU7" i="11"/>
  <c r="AT7" i="11"/>
  <c r="AQ7" i="11"/>
  <c r="AP7" i="11"/>
  <c r="AN7" i="11"/>
  <c r="AM7" i="11"/>
  <c r="AJ7" i="11"/>
  <c r="AI7" i="11"/>
  <c r="AG7" i="11"/>
  <c r="AF7" i="11"/>
  <c r="AC7" i="11"/>
  <c r="AB7" i="11"/>
  <c r="Z7" i="11"/>
  <c r="Y7" i="11"/>
  <c r="V7" i="11"/>
  <c r="U7" i="11"/>
  <c r="S7" i="11"/>
  <c r="R7" i="11"/>
  <c r="O7" i="11"/>
  <c r="N7" i="11"/>
  <c r="L7" i="11"/>
  <c r="K7" i="11"/>
  <c r="H7" i="11"/>
  <c r="G7" i="11"/>
  <c r="E7" i="11"/>
  <c r="D7" i="11"/>
  <c r="BU6" i="11"/>
  <c r="CA6" i="11" s="1"/>
  <c r="BL6" i="11"/>
  <c r="BK6" i="11"/>
  <c r="BI6" i="11"/>
  <c r="BH6" i="11"/>
  <c r="BE6" i="11"/>
  <c r="BD6" i="11"/>
  <c r="BB6" i="11"/>
  <c r="BA6" i="11"/>
  <c r="AX6" i="11"/>
  <c r="AW6" i="11"/>
  <c r="AU6" i="11"/>
  <c r="AT6" i="11"/>
  <c r="AQ6" i="11"/>
  <c r="AP6" i="11"/>
  <c r="AN6" i="11"/>
  <c r="AM6" i="11"/>
  <c r="AJ6" i="11"/>
  <c r="AI6" i="11"/>
  <c r="AG6" i="11"/>
  <c r="AF6" i="11"/>
  <c r="AC6" i="11"/>
  <c r="AB6" i="11"/>
  <c r="Z6" i="11"/>
  <c r="Y6" i="11"/>
  <c r="V6" i="11"/>
  <c r="U6" i="11"/>
  <c r="S6" i="11"/>
  <c r="R6" i="11"/>
  <c r="O6" i="11"/>
  <c r="N6" i="11"/>
  <c r="L6" i="11"/>
  <c r="K6" i="11"/>
  <c r="H6" i="11"/>
  <c r="G6" i="11"/>
  <c r="E6" i="11"/>
  <c r="D6" i="11"/>
  <c r="BU5" i="11"/>
  <c r="CA5" i="11" s="1"/>
  <c r="BK5" i="11"/>
  <c r="BH5" i="11"/>
  <c r="BD5" i="11"/>
  <c r="BA5" i="11"/>
  <c r="AW5" i="11"/>
  <c r="AT5" i="11"/>
  <c r="AP5" i="11"/>
  <c r="AM5" i="11"/>
  <c r="AI5" i="11"/>
  <c r="AF5" i="11"/>
  <c r="AB5" i="11"/>
  <c r="Y5" i="11"/>
  <c r="U5" i="11"/>
  <c r="R5" i="11"/>
  <c r="N5" i="11"/>
  <c r="K5" i="11"/>
  <c r="G5" i="11"/>
  <c r="D5" i="11"/>
  <c r="BL4" i="11"/>
  <c r="BK4" i="11"/>
  <c r="BI4" i="11"/>
  <c r="BH4" i="11"/>
  <c r="BE4" i="11"/>
  <c r="BD4" i="11"/>
  <c r="BB4" i="11"/>
  <c r="BA4" i="11"/>
  <c r="AX4" i="11"/>
  <c r="AW4" i="11"/>
  <c r="AU4" i="11"/>
  <c r="AT4" i="11"/>
  <c r="AQ4" i="11"/>
  <c r="AP4" i="11"/>
  <c r="AN4" i="11"/>
  <c r="AM4" i="11"/>
  <c r="AJ4" i="11"/>
  <c r="AI4" i="11"/>
  <c r="AG4" i="11"/>
  <c r="AF4" i="11"/>
  <c r="AC4" i="11"/>
  <c r="AB4" i="11"/>
  <c r="Z4" i="11"/>
  <c r="Y4" i="11"/>
  <c r="V4" i="11"/>
  <c r="U4" i="11"/>
  <c r="S4" i="11"/>
  <c r="R4" i="11"/>
  <c r="O4" i="11"/>
  <c r="N4" i="11"/>
  <c r="L4" i="11"/>
  <c r="K4" i="11"/>
  <c r="H4" i="11"/>
  <c r="G4" i="11"/>
  <c r="E4" i="11"/>
  <c r="D4" i="11"/>
  <c r="BG22" i="10"/>
  <c r="BC22" i="10"/>
  <c r="BC26" i="10" s="1"/>
  <c r="AZ22" i="10"/>
  <c r="AZ26" i="10" s="1"/>
  <c r="BR22" i="11" l="1"/>
  <c r="BO22" i="11"/>
  <c r="BI22" i="11"/>
  <c r="BQ29" i="11"/>
  <c r="BS26" i="11"/>
  <c r="BQ26" i="11"/>
  <c r="BS22" i="11"/>
  <c r="BP26" i="11"/>
  <c r="BN26" i="11"/>
  <c r="BP22" i="11"/>
  <c r="BT22" i="11"/>
  <c r="BK22" i="11"/>
  <c r="BH22" i="11"/>
  <c r="BD22" i="11"/>
  <c r="BA22" i="11"/>
  <c r="AW22" i="11"/>
  <c r="AT22" i="11"/>
  <c r="AP22" i="11"/>
  <c r="AM22" i="11"/>
  <c r="AI22" i="11"/>
  <c r="AF22" i="11"/>
  <c r="AB22" i="11"/>
  <c r="Y22" i="11"/>
  <c r="U22" i="11"/>
  <c r="R22" i="11"/>
  <c r="N22" i="11"/>
  <c r="G22" i="11"/>
  <c r="D22" i="11"/>
  <c r="K20" i="11"/>
  <c r="K22" i="11" s="1"/>
  <c r="J22" i="11"/>
  <c r="BU20" i="11"/>
  <c r="CA20" i="11" s="1"/>
  <c r="BJ29" i="11"/>
  <c r="BL22" i="11"/>
  <c r="BL26" i="11"/>
  <c r="BJ26" i="11"/>
  <c r="BG26" i="11"/>
  <c r="BI26" i="11"/>
  <c r="BC29" i="11"/>
  <c r="BE26" i="11"/>
  <c r="BC26" i="11"/>
  <c r="BE22" i="11"/>
  <c r="BB26" i="11"/>
  <c r="AZ26" i="11"/>
  <c r="BB22" i="11"/>
  <c r="AV29" i="11"/>
  <c r="AV26" i="11"/>
  <c r="AX22" i="11"/>
  <c r="AX26" i="11"/>
  <c r="AU26" i="11"/>
  <c r="AS26" i="11"/>
  <c r="AU22" i="11"/>
  <c r="AO29" i="11"/>
  <c r="AQ26" i="11"/>
  <c r="AO26" i="11"/>
  <c r="AQ22" i="11"/>
  <c r="AN26" i="11"/>
  <c r="AL26" i="11"/>
  <c r="AN22" i="11"/>
  <c r="AH29" i="11"/>
  <c r="AJ26" i="11"/>
  <c r="AH26" i="11"/>
  <c r="AJ22" i="11"/>
  <c r="AG26" i="11"/>
  <c r="AG22" i="11"/>
  <c r="AE26" i="11"/>
  <c r="AA29" i="11"/>
  <c r="AA26" i="11"/>
  <c r="AC22" i="11"/>
  <c r="AC26" i="11"/>
  <c r="Z22" i="11"/>
  <c r="Z26" i="11"/>
  <c r="X26" i="11"/>
  <c r="T29" i="11"/>
  <c r="T26" i="11"/>
  <c r="V26" i="11"/>
  <c r="V22" i="11"/>
  <c r="Q26" i="11"/>
  <c r="S22" i="11"/>
  <c r="S26" i="11"/>
  <c r="M26" i="11"/>
  <c r="O22" i="11"/>
  <c r="M29" i="11"/>
  <c r="O26" i="11"/>
  <c r="H26" i="11"/>
  <c r="F26" i="11"/>
  <c r="F29" i="11"/>
  <c r="H22" i="11"/>
  <c r="E26" i="11"/>
  <c r="C26" i="11"/>
  <c r="E22" i="11"/>
  <c r="BY20" i="11"/>
  <c r="BY19" i="11"/>
  <c r="BZ19" i="11"/>
  <c r="BV19" i="11"/>
  <c r="BW19" i="11"/>
  <c r="BY18" i="11"/>
  <c r="BZ18" i="11"/>
  <c r="BV18" i="11"/>
  <c r="BW18" i="11"/>
  <c r="BY17" i="11"/>
  <c r="BZ17" i="11"/>
  <c r="BW17" i="11"/>
  <c r="BV17" i="11"/>
  <c r="BY16" i="11"/>
  <c r="BZ16" i="11"/>
  <c r="BW16" i="11"/>
  <c r="BV16" i="11"/>
  <c r="BY15" i="11"/>
  <c r="BV15" i="11"/>
  <c r="BZ14" i="11"/>
  <c r="BY14" i="11"/>
  <c r="BV14" i="11"/>
  <c r="BW14" i="11"/>
  <c r="BZ13" i="11"/>
  <c r="BY13" i="11"/>
  <c r="BV13" i="11"/>
  <c r="BW13" i="11"/>
  <c r="BZ12" i="11"/>
  <c r="BY12" i="11"/>
  <c r="BW12" i="11"/>
  <c r="BV12" i="11"/>
  <c r="BY11" i="11"/>
  <c r="BZ11" i="11"/>
  <c r="BV11" i="11"/>
  <c r="BW11" i="11"/>
  <c r="BZ10" i="11"/>
  <c r="BY10" i="11"/>
  <c r="BW10" i="11"/>
  <c r="BV10" i="11"/>
  <c r="BZ9" i="11"/>
  <c r="BY9" i="11"/>
  <c r="BW9" i="11"/>
  <c r="BV9" i="11"/>
  <c r="BY8" i="11"/>
  <c r="BZ8" i="11"/>
  <c r="BV8" i="11"/>
  <c r="BW8" i="11"/>
  <c r="BZ7" i="11"/>
  <c r="BY7" i="11"/>
  <c r="BW7" i="11"/>
  <c r="BV7" i="11"/>
  <c r="BZ6" i="11"/>
  <c r="BY6" i="11"/>
  <c r="BV6" i="11"/>
  <c r="BW6" i="11"/>
  <c r="BY5" i="11"/>
  <c r="BV5" i="11"/>
  <c r="BX22" i="11"/>
  <c r="BZ4" i="11"/>
  <c r="BY4" i="11"/>
  <c r="BW4" i="11"/>
  <c r="BV4" i="11"/>
  <c r="BC29" i="10"/>
  <c r="BN24" i="10"/>
  <c r="BT24" i="10" s="1"/>
  <c r="BM4" i="10"/>
  <c r="L26" i="11" l="1"/>
  <c r="J26" i="11"/>
  <c r="L22" i="11"/>
  <c r="BV20" i="11"/>
  <c r="BU22" i="11"/>
  <c r="BY22" i="11"/>
  <c r="BZ22" i="11"/>
  <c r="CB22" i="11"/>
  <c r="BX26" i="11"/>
  <c r="BZ26" i="11"/>
  <c r="BX29" i="11"/>
  <c r="BQ24" i="10"/>
  <c r="BU24" i="10" s="1"/>
  <c r="BQ20" i="10"/>
  <c r="BU20" i="10" s="1"/>
  <c r="BQ19" i="10"/>
  <c r="BU19" i="10" s="1"/>
  <c r="BQ18" i="10"/>
  <c r="BU18" i="10" s="1"/>
  <c r="BQ17" i="10"/>
  <c r="BU17" i="10" s="1"/>
  <c r="BQ16" i="10"/>
  <c r="BU16" i="10" s="1"/>
  <c r="BQ14" i="10"/>
  <c r="BU14" i="10" s="1"/>
  <c r="BQ15" i="10"/>
  <c r="BU15" i="10" s="1"/>
  <c r="BQ13" i="10"/>
  <c r="BU13" i="10" s="1"/>
  <c r="BQ12" i="10"/>
  <c r="BU12" i="10" s="1"/>
  <c r="BQ11" i="10"/>
  <c r="BU11" i="10" s="1"/>
  <c r="BQ10" i="10"/>
  <c r="BU10" i="10" s="1"/>
  <c r="BQ9" i="10"/>
  <c r="BU9" i="10" s="1"/>
  <c r="BQ8" i="10"/>
  <c r="BU8" i="10" s="1"/>
  <c r="BQ7" i="10"/>
  <c r="BU7" i="10" s="1"/>
  <c r="BQ6" i="10"/>
  <c r="BU6" i="10" s="1"/>
  <c r="BQ5" i="10"/>
  <c r="BU5" i="10" s="1"/>
  <c r="BQ4" i="10"/>
  <c r="BU4" i="10" s="1"/>
  <c r="BM20" i="10"/>
  <c r="BN19" i="10"/>
  <c r="BT19" i="10" s="1"/>
  <c r="BM19" i="10"/>
  <c r="BN18" i="10"/>
  <c r="BT18" i="10" s="1"/>
  <c r="BM18" i="10"/>
  <c r="BN17" i="10"/>
  <c r="BT17" i="10" s="1"/>
  <c r="BM17" i="10"/>
  <c r="BN16" i="10"/>
  <c r="BT16" i="10" s="1"/>
  <c r="BM16" i="10"/>
  <c r="BN14" i="10"/>
  <c r="BT14" i="10" s="1"/>
  <c r="BM14" i="10"/>
  <c r="BN15" i="10"/>
  <c r="BT15" i="10" s="1"/>
  <c r="BM15" i="10"/>
  <c r="BN13" i="10"/>
  <c r="BT13" i="10" s="1"/>
  <c r="BM13" i="10"/>
  <c r="BN12" i="10"/>
  <c r="BT12" i="10" s="1"/>
  <c r="BM12" i="10"/>
  <c r="BN11" i="10"/>
  <c r="BT11" i="10" s="1"/>
  <c r="BM11" i="10"/>
  <c r="BN10" i="10"/>
  <c r="BT10" i="10" s="1"/>
  <c r="BM10" i="10"/>
  <c r="BN9" i="10"/>
  <c r="BT9" i="10" s="1"/>
  <c r="BM9" i="10"/>
  <c r="BN8" i="10"/>
  <c r="BT8" i="10" s="1"/>
  <c r="BM8" i="10"/>
  <c r="BN7" i="10"/>
  <c r="BT7" i="10" s="1"/>
  <c r="BM7" i="10"/>
  <c r="BN6" i="10"/>
  <c r="BT6" i="10" s="1"/>
  <c r="BM6" i="10"/>
  <c r="BN5" i="10"/>
  <c r="BT5" i="10" s="1"/>
  <c r="BM5" i="10"/>
  <c r="BN4" i="10"/>
  <c r="BT4" i="10" s="1"/>
  <c r="BV22" i="11" l="1"/>
  <c r="BW22" i="11"/>
  <c r="CA22" i="11"/>
  <c r="BU26" i="11"/>
  <c r="BW26" i="11"/>
  <c r="BM22" i="10"/>
  <c r="BP8" i="10"/>
  <c r="BJ22" i="10"/>
  <c r="BJ29" i="10" s="1"/>
  <c r="BI26" i="10"/>
  <c r="BF22" i="10"/>
  <c r="BK20" i="10"/>
  <c r="BH20" i="10"/>
  <c r="BL19" i="10"/>
  <c r="BK19" i="10"/>
  <c r="BI19" i="10"/>
  <c r="BH19" i="10"/>
  <c r="BL18" i="10"/>
  <c r="BK18" i="10"/>
  <c r="BI18" i="10"/>
  <c r="BH18" i="10"/>
  <c r="BL17" i="10"/>
  <c r="BK17" i="10"/>
  <c r="BI17" i="10"/>
  <c r="BH17" i="10"/>
  <c r="BK16" i="10"/>
  <c r="BH16" i="10"/>
  <c r="BL14" i="10"/>
  <c r="BK14" i="10"/>
  <c r="BI14" i="10"/>
  <c r="BH14" i="10"/>
  <c r="BK15" i="10"/>
  <c r="BH15" i="10"/>
  <c r="BL13" i="10"/>
  <c r="BK13" i="10"/>
  <c r="BI13" i="10"/>
  <c r="BH13" i="10"/>
  <c r="BL12" i="10"/>
  <c r="BK12" i="10"/>
  <c r="BI12" i="10"/>
  <c r="BH12" i="10"/>
  <c r="BL11" i="10"/>
  <c r="BK11" i="10"/>
  <c r="BI11" i="10"/>
  <c r="BH11" i="10"/>
  <c r="BL10" i="10"/>
  <c r="BK10" i="10"/>
  <c r="BI10" i="10"/>
  <c r="BH10" i="10"/>
  <c r="BL9" i="10"/>
  <c r="BK9" i="10"/>
  <c r="BI9" i="10"/>
  <c r="BH9" i="10"/>
  <c r="BL8" i="10"/>
  <c r="BK8" i="10"/>
  <c r="BI8" i="10"/>
  <c r="BH8" i="10"/>
  <c r="BL7" i="10"/>
  <c r="BK7" i="10"/>
  <c r="BI7" i="10"/>
  <c r="BH7" i="10"/>
  <c r="BL6" i="10"/>
  <c r="BK6" i="10"/>
  <c r="BI6" i="10"/>
  <c r="BH6" i="10"/>
  <c r="BK5" i="10"/>
  <c r="BH5" i="10"/>
  <c r="BL4" i="10"/>
  <c r="BK4" i="10"/>
  <c r="BI4" i="10"/>
  <c r="BH4" i="10"/>
  <c r="BE26" i="10"/>
  <c r="BB26" i="10"/>
  <c r="AY22" i="10"/>
  <c r="BB22" i="10" s="1"/>
  <c r="AV22" i="10"/>
  <c r="AV29" i="10" s="1"/>
  <c r="AS22" i="10"/>
  <c r="AR22" i="10"/>
  <c r="AO22" i="10"/>
  <c r="AL22" i="10"/>
  <c r="AL26" i="10" s="1"/>
  <c r="AK22" i="10"/>
  <c r="AH22" i="10"/>
  <c r="AE22" i="10"/>
  <c r="AG26" i="10" s="1"/>
  <c r="AD22" i="10"/>
  <c r="AA22" i="10"/>
  <c r="AA29" i="10" s="1"/>
  <c r="X22" i="10"/>
  <c r="W22" i="10"/>
  <c r="T22" i="10"/>
  <c r="T29" i="10" s="1"/>
  <c r="Q22" i="10"/>
  <c r="P22" i="10"/>
  <c r="M22" i="10"/>
  <c r="M29" i="10" s="1"/>
  <c r="I22" i="10"/>
  <c r="F22" i="10"/>
  <c r="C22" i="10"/>
  <c r="B22" i="10"/>
  <c r="BD20" i="10"/>
  <c r="BA20" i="10"/>
  <c r="AW20" i="10"/>
  <c r="AT20" i="10"/>
  <c r="AP20" i="10"/>
  <c r="AM20" i="10"/>
  <c r="AI20" i="10"/>
  <c r="AF20" i="10"/>
  <c r="AB20" i="10"/>
  <c r="Y20" i="10"/>
  <c r="U20" i="10"/>
  <c r="R20" i="10"/>
  <c r="N20" i="10"/>
  <c r="J20" i="10"/>
  <c r="BN20" i="10" s="1"/>
  <c r="BT20" i="10" s="1"/>
  <c r="G20" i="10"/>
  <c r="D20" i="10"/>
  <c r="BE19" i="10"/>
  <c r="BD19" i="10"/>
  <c r="BB19" i="10"/>
  <c r="BA19" i="10"/>
  <c r="AX19" i="10"/>
  <c r="AW19" i="10"/>
  <c r="AU19" i="10"/>
  <c r="AT19" i="10"/>
  <c r="AQ19" i="10"/>
  <c r="AP19" i="10"/>
  <c r="AN19" i="10"/>
  <c r="AM19" i="10"/>
  <c r="AJ19" i="10"/>
  <c r="AI19" i="10"/>
  <c r="AG19" i="10"/>
  <c r="AF19" i="10"/>
  <c r="AC19" i="10"/>
  <c r="AB19" i="10"/>
  <c r="Z19" i="10"/>
  <c r="Y19" i="10"/>
  <c r="V19" i="10"/>
  <c r="U19" i="10"/>
  <c r="S19" i="10"/>
  <c r="R19" i="10"/>
  <c r="O19" i="10"/>
  <c r="N19" i="10"/>
  <c r="L19" i="10"/>
  <c r="K19" i="10"/>
  <c r="H19" i="10"/>
  <c r="G19" i="10"/>
  <c r="E19" i="10"/>
  <c r="D19" i="10"/>
  <c r="BE18" i="10"/>
  <c r="BD18" i="10"/>
  <c r="BB18" i="10"/>
  <c r="BA18" i="10"/>
  <c r="AX18" i="10"/>
  <c r="AW18" i="10"/>
  <c r="AU18" i="10"/>
  <c r="AT18" i="10"/>
  <c r="AQ18" i="10"/>
  <c r="AP18" i="10"/>
  <c r="AN18" i="10"/>
  <c r="AM18" i="10"/>
  <c r="AJ18" i="10"/>
  <c r="AI18" i="10"/>
  <c r="AG18" i="10"/>
  <c r="AF18" i="10"/>
  <c r="AC18" i="10"/>
  <c r="AB18" i="10"/>
  <c r="Z18" i="10"/>
  <c r="Y18" i="10"/>
  <c r="V18" i="10"/>
  <c r="U18" i="10"/>
  <c r="S18" i="10"/>
  <c r="R18" i="10"/>
  <c r="O18" i="10"/>
  <c r="N18" i="10"/>
  <c r="L18" i="10"/>
  <c r="K18" i="10"/>
  <c r="H18" i="10"/>
  <c r="G18" i="10"/>
  <c r="E18" i="10"/>
  <c r="D18" i="10"/>
  <c r="BE17" i="10"/>
  <c r="BD17" i="10"/>
  <c r="BB17" i="10"/>
  <c r="BA17" i="10"/>
  <c r="AX17" i="10"/>
  <c r="AW17" i="10"/>
  <c r="AU17" i="10"/>
  <c r="AT17" i="10"/>
  <c r="AQ17" i="10"/>
  <c r="AP17" i="10"/>
  <c r="AN17" i="10"/>
  <c r="AM17" i="10"/>
  <c r="AJ17" i="10"/>
  <c r="AI17" i="10"/>
  <c r="AG17" i="10"/>
  <c r="AF17" i="10"/>
  <c r="AC17" i="10"/>
  <c r="AB17" i="10"/>
  <c r="Z17" i="10"/>
  <c r="Y17" i="10"/>
  <c r="V17" i="10"/>
  <c r="U17" i="10"/>
  <c r="S17" i="10"/>
  <c r="R17" i="10"/>
  <c r="O17" i="10"/>
  <c r="N17" i="10"/>
  <c r="L17" i="10"/>
  <c r="K17" i="10"/>
  <c r="H17" i="10"/>
  <c r="G17" i="10"/>
  <c r="E17" i="10"/>
  <c r="D17" i="10"/>
  <c r="BD16" i="10"/>
  <c r="BA16" i="10"/>
  <c r="AW16" i="10"/>
  <c r="AT16" i="10"/>
  <c r="AP16" i="10"/>
  <c r="AM16" i="10"/>
  <c r="AI16" i="10"/>
  <c r="AF16" i="10"/>
  <c r="AB16" i="10"/>
  <c r="Y16" i="10"/>
  <c r="U16" i="10"/>
  <c r="R16" i="10"/>
  <c r="O16" i="10"/>
  <c r="N16" i="10"/>
  <c r="L16" i="10"/>
  <c r="K16" i="10"/>
  <c r="H16" i="10"/>
  <c r="G16" i="10"/>
  <c r="E16" i="10"/>
  <c r="D16" i="10"/>
  <c r="BE14" i="10"/>
  <c r="BD14" i="10"/>
  <c r="BB14" i="10"/>
  <c r="BA14" i="10"/>
  <c r="AX14" i="10"/>
  <c r="AW14" i="10"/>
  <c r="AU14" i="10"/>
  <c r="AT14" i="10"/>
  <c r="AQ14" i="10"/>
  <c r="AP14" i="10"/>
  <c r="AN14" i="10"/>
  <c r="AM14" i="10"/>
  <c r="AJ14" i="10"/>
  <c r="AI14" i="10"/>
  <c r="AG14" i="10"/>
  <c r="AF14" i="10"/>
  <c r="AC14" i="10"/>
  <c r="AB14" i="10"/>
  <c r="Z14" i="10"/>
  <c r="Y14" i="10"/>
  <c r="V14" i="10"/>
  <c r="U14" i="10"/>
  <c r="S14" i="10"/>
  <c r="R14" i="10"/>
  <c r="O14" i="10"/>
  <c r="N14" i="10"/>
  <c r="L14" i="10"/>
  <c r="K14" i="10"/>
  <c r="H14" i="10"/>
  <c r="G14" i="10"/>
  <c r="E14" i="10"/>
  <c r="D14" i="10"/>
  <c r="BD15" i="10"/>
  <c r="BA15" i="10"/>
  <c r="AW15" i="10"/>
  <c r="AT15" i="10"/>
  <c r="AP15" i="10"/>
  <c r="AM15" i="10"/>
  <c r="AI15" i="10"/>
  <c r="AF15" i="10"/>
  <c r="AB15" i="10"/>
  <c r="Y15" i="10"/>
  <c r="U15" i="10"/>
  <c r="R15" i="10"/>
  <c r="N15" i="10"/>
  <c r="K15" i="10"/>
  <c r="G15" i="10"/>
  <c r="D15" i="10"/>
  <c r="BR13" i="10"/>
  <c r="BO13" i="10"/>
  <c r="BE13" i="10"/>
  <c r="BD13" i="10"/>
  <c r="BB13" i="10"/>
  <c r="BA13" i="10"/>
  <c r="AX13" i="10"/>
  <c r="AW13" i="10"/>
  <c r="AU13" i="10"/>
  <c r="AT13" i="10"/>
  <c r="AQ13" i="10"/>
  <c r="AP13" i="10"/>
  <c r="AN13" i="10"/>
  <c r="AM13" i="10"/>
  <c r="AJ13" i="10"/>
  <c r="AI13" i="10"/>
  <c r="AG13" i="10"/>
  <c r="AF13" i="10"/>
  <c r="AC13" i="10"/>
  <c r="AB13" i="10"/>
  <c r="Z13" i="10"/>
  <c r="Y13" i="10"/>
  <c r="V13" i="10"/>
  <c r="U13" i="10"/>
  <c r="S13" i="10"/>
  <c r="R13" i="10"/>
  <c r="O13" i="10"/>
  <c r="N13" i="10"/>
  <c r="L13" i="10"/>
  <c r="K13" i="10"/>
  <c r="H13" i="10"/>
  <c r="G13" i="10"/>
  <c r="E13" i="10"/>
  <c r="D13" i="10"/>
  <c r="BP12" i="10"/>
  <c r="BO12" i="10"/>
  <c r="BE12" i="10"/>
  <c r="BD12" i="10"/>
  <c r="BB12" i="10"/>
  <c r="BA12" i="10"/>
  <c r="AX12" i="10"/>
  <c r="AW12" i="10"/>
  <c r="AU12" i="10"/>
  <c r="AT12" i="10"/>
  <c r="AQ12" i="10"/>
  <c r="AP12" i="10"/>
  <c r="AN12" i="10"/>
  <c r="AM12" i="10"/>
  <c r="BE11" i="10"/>
  <c r="BD11" i="10"/>
  <c r="BB11" i="10"/>
  <c r="BA11" i="10"/>
  <c r="AX11" i="10"/>
  <c r="AW11" i="10"/>
  <c r="AU11" i="10"/>
  <c r="AT11" i="10"/>
  <c r="AQ11" i="10"/>
  <c r="AP11" i="10"/>
  <c r="AN11" i="10"/>
  <c r="AM11" i="10"/>
  <c r="AJ11" i="10"/>
  <c r="AI11" i="10"/>
  <c r="AG11" i="10"/>
  <c r="AF11" i="10"/>
  <c r="AC11" i="10"/>
  <c r="AB11" i="10"/>
  <c r="Z11" i="10"/>
  <c r="Y11" i="10"/>
  <c r="V11" i="10"/>
  <c r="U11" i="10"/>
  <c r="S11" i="10"/>
  <c r="R11" i="10"/>
  <c r="O11" i="10"/>
  <c r="N11" i="10"/>
  <c r="L11" i="10"/>
  <c r="K11" i="10"/>
  <c r="H11" i="10"/>
  <c r="G11" i="10"/>
  <c r="E11" i="10"/>
  <c r="D11" i="10"/>
  <c r="BE10" i="10"/>
  <c r="BD10" i="10"/>
  <c r="BB10" i="10"/>
  <c r="BA10" i="10"/>
  <c r="AX10" i="10"/>
  <c r="AW10" i="10"/>
  <c r="AU10" i="10"/>
  <c r="AT10" i="10"/>
  <c r="AQ10" i="10"/>
  <c r="AP10" i="10"/>
  <c r="AN10" i="10"/>
  <c r="AM10" i="10"/>
  <c r="AJ10" i="10"/>
  <c r="AI10" i="10"/>
  <c r="AG10" i="10"/>
  <c r="AF10" i="10"/>
  <c r="AC10" i="10"/>
  <c r="AB10" i="10"/>
  <c r="Z10" i="10"/>
  <c r="Y10" i="10"/>
  <c r="V10" i="10"/>
  <c r="U10" i="10"/>
  <c r="S10" i="10"/>
  <c r="R10" i="10"/>
  <c r="O10" i="10"/>
  <c r="N10" i="10"/>
  <c r="L10" i="10"/>
  <c r="K10" i="10"/>
  <c r="H10" i="10"/>
  <c r="G10" i="10"/>
  <c r="E10" i="10"/>
  <c r="D10" i="10"/>
  <c r="BE9" i="10"/>
  <c r="BD9" i="10"/>
  <c r="BB9" i="10"/>
  <c r="BA9" i="10"/>
  <c r="AX9" i="10"/>
  <c r="AW9" i="10"/>
  <c r="AU9" i="10"/>
  <c r="AT9" i="10"/>
  <c r="AQ9" i="10"/>
  <c r="AP9" i="10"/>
  <c r="AN9" i="10"/>
  <c r="AM9" i="10"/>
  <c r="AJ9" i="10"/>
  <c r="AI9" i="10"/>
  <c r="AG9" i="10"/>
  <c r="AF9" i="10"/>
  <c r="AC9" i="10"/>
  <c r="AB9" i="10"/>
  <c r="Z9" i="10"/>
  <c r="Y9" i="10"/>
  <c r="V9" i="10"/>
  <c r="U9" i="10"/>
  <c r="S9" i="10"/>
  <c r="R9" i="10"/>
  <c r="O9" i="10"/>
  <c r="N9" i="10"/>
  <c r="L9" i="10"/>
  <c r="K9" i="10"/>
  <c r="H9" i="10"/>
  <c r="G9" i="10"/>
  <c r="E9" i="10"/>
  <c r="D9" i="10"/>
  <c r="BE8" i="10"/>
  <c r="BD8" i="10"/>
  <c r="BB8" i="10"/>
  <c r="BA8" i="10"/>
  <c r="AX8" i="10"/>
  <c r="AW8" i="10"/>
  <c r="AU8" i="10"/>
  <c r="AT8" i="10"/>
  <c r="AQ8" i="10"/>
  <c r="AP8" i="10"/>
  <c r="AN8" i="10"/>
  <c r="AM8" i="10"/>
  <c r="AJ8" i="10"/>
  <c r="AI8" i="10"/>
  <c r="AG8" i="10"/>
  <c r="AF8" i="10"/>
  <c r="AC8" i="10"/>
  <c r="AB8" i="10"/>
  <c r="Z8" i="10"/>
  <c r="Y8" i="10"/>
  <c r="V8" i="10"/>
  <c r="U8" i="10"/>
  <c r="S8" i="10"/>
  <c r="R8" i="10"/>
  <c r="O8" i="10"/>
  <c r="N8" i="10"/>
  <c r="L8" i="10"/>
  <c r="K8" i="10"/>
  <c r="H8" i="10"/>
  <c r="G8" i="10"/>
  <c r="E8" i="10"/>
  <c r="D8" i="10"/>
  <c r="BE7" i="10"/>
  <c r="BD7" i="10"/>
  <c r="BB7" i="10"/>
  <c r="BA7" i="10"/>
  <c r="AX7" i="10"/>
  <c r="AW7" i="10"/>
  <c r="AU7" i="10"/>
  <c r="AT7" i="10"/>
  <c r="AQ7" i="10"/>
  <c r="AP7" i="10"/>
  <c r="AN7" i="10"/>
  <c r="AM7" i="10"/>
  <c r="AJ7" i="10"/>
  <c r="AI7" i="10"/>
  <c r="AG7" i="10"/>
  <c r="AF7" i="10"/>
  <c r="AC7" i="10"/>
  <c r="AB7" i="10"/>
  <c r="Z7" i="10"/>
  <c r="Y7" i="10"/>
  <c r="V7" i="10"/>
  <c r="U7" i="10"/>
  <c r="S7" i="10"/>
  <c r="R7" i="10"/>
  <c r="O7" i="10"/>
  <c r="N7" i="10"/>
  <c r="L7" i="10"/>
  <c r="K7" i="10"/>
  <c r="H7" i="10"/>
  <c r="G7" i="10"/>
  <c r="E7" i="10"/>
  <c r="D7" i="10"/>
  <c r="BR6" i="10"/>
  <c r="BP6" i="10"/>
  <c r="BE6" i="10"/>
  <c r="BD6" i="10"/>
  <c r="BB6" i="10"/>
  <c r="BA6" i="10"/>
  <c r="AX6" i="10"/>
  <c r="AW6" i="10"/>
  <c r="AU6" i="10"/>
  <c r="AT6" i="10"/>
  <c r="AQ6" i="10"/>
  <c r="AP6" i="10"/>
  <c r="AN6" i="10"/>
  <c r="AM6" i="10"/>
  <c r="AJ6" i="10"/>
  <c r="AI6" i="10"/>
  <c r="AG6" i="10"/>
  <c r="AF6" i="10"/>
  <c r="AC6" i="10"/>
  <c r="AB6" i="10"/>
  <c r="Z6" i="10"/>
  <c r="Y6" i="10"/>
  <c r="V6" i="10"/>
  <c r="U6" i="10"/>
  <c r="S6" i="10"/>
  <c r="R6" i="10"/>
  <c r="O6" i="10"/>
  <c r="N6" i="10"/>
  <c r="L6" i="10"/>
  <c r="K6" i="10"/>
  <c r="H6" i="10"/>
  <c r="G6" i="10"/>
  <c r="E6" i="10"/>
  <c r="D6" i="10"/>
  <c r="BD5" i="10"/>
  <c r="BA5" i="10"/>
  <c r="AW5" i="10"/>
  <c r="AT5" i="10"/>
  <c r="AP5" i="10"/>
  <c r="AM5" i="10"/>
  <c r="AI5" i="10"/>
  <c r="AF5" i="10"/>
  <c r="AB5" i="10"/>
  <c r="Y5" i="10"/>
  <c r="U5" i="10"/>
  <c r="R5" i="10"/>
  <c r="N5" i="10"/>
  <c r="K5" i="10"/>
  <c r="G5" i="10"/>
  <c r="D5" i="10"/>
  <c r="BE4" i="10"/>
  <c r="BD4" i="10"/>
  <c r="BB4" i="10"/>
  <c r="BA4" i="10"/>
  <c r="AX4" i="10"/>
  <c r="AW4" i="10"/>
  <c r="AU4" i="10"/>
  <c r="AT4" i="10"/>
  <c r="AQ4" i="10"/>
  <c r="AP4" i="10"/>
  <c r="AN4" i="10"/>
  <c r="AM4" i="10"/>
  <c r="AJ4" i="10"/>
  <c r="AI4" i="10"/>
  <c r="AG4" i="10"/>
  <c r="AF4" i="10"/>
  <c r="AC4" i="10"/>
  <c r="AB4" i="10"/>
  <c r="Z4" i="10"/>
  <c r="Y4" i="10"/>
  <c r="V4" i="10"/>
  <c r="U4" i="10"/>
  <c r="S4" i="10"/>
  <c r="R4" i="10"/>
  <c r="O4" i="10"/>
  <c r="N4" i="10"/>
  <c r="L4" i="10"/>
  <c r="K4" i="10"/>
  <c r="H4" i="10"/>
  <c r="G4" i="10"/>
  <c r="E4" i="10"/>
  <c r="D4" i="10"/>
  <c r="AN26" i="10" l="1"/>
  <c r="AQ22" i="10"/>
  <c r="AW22" i="10"/>
  <c r="AJ22" i="10"/>
  <c r="AH26" i="10"/>
  <c r="BL22" i="10"/>
  <c r="BK22" i="10"/>
  <c r="BH22" i="10"/>
  <c r="BP17" i="10"/>
  <c r="AN22" i="10"/>
  <c r="BP4" i="10"/>
  <c r="BR20" i="10"/>
  <c r="BR14" i="10"/>
  <c r="BP19" i="10"/>
  <c r="BS14" i="10"/>
  <c r="BS19" i="10"/>
  <c r="AX22" i="10"/>
  <c r="E22" i="10"/>
  <c r="BI22" i="10"/>
  <c r="G22" i="10"/>
  <c r="Y22" i="10"/>
  <c r="AT22" i="10"/>
  <c r="AJ26" i="10"/>
  <c r="BS6" i="10"/>
  <c r="BO11" i="10"/>
  <c r="BP11" i="10"/>
  <c r="AO26" i="10"/>
  <c r="BS11" i="10"/>
  <c r="AQ26" i="10"/>
  <c r="BS4" i="10"/>
  <c r="BR5" i="10"/>
  <c r="AH29" i="10"/>
  <c r="AI22" i="10"/>
  <c r="AB22" i="10"/>
  <c r="BP13" i="10"/>
  <c r="BO15" i="10"/>
  <c r="BG26" i="10"/>
  <c r="BP18" i="10"/>
  <c r="S22" i="10"/>
  <c r="C26" i="10"/>
  <c r="BS13" i="10"/>
  <c r="BS18" i="10"/>
  <c r="E26" i="10"/>
  <c r="BJ26" i="10"/>
  <c r="D22" i="10"/>
  <c r="M26" i="10"/>
  <c r="BL26" i="10"/>
  <c r="AO29" i="10"/>
  <c r="O26" i="10"/>
  <c r="Q26" i="10"/>
  <c r="BO5" i="10"/>
  <c r="S26" i="10"/>
  <c r="BO10" i="10"/>
  <c r="BP10" i="10"/>
  <c r="BS10" i="10"/>
  <c r="BR10" i="10"/>
  <c r="AM22" i="10"/>
  <c r="U22" i="10"/>
  <c r="Z26" i="10"/>
  <c r="X26" i="10"/>
  <c r="AP22" i="10"/>
  <c r="BR17" i="10"/>
  <c r="BD22" i="10"/>
  <c r="BS17" i="10"/>
  <c r="Z22" i="10"/>
  <c r="BP9" i="10"/>
  <c r="AC26" i="10"/>
  <c r="AA26" i="10"/>
  <c r="AC22" i="10"/>
  <c r="BO9" i="10"/>
  <c r="BO16" i="10"/>
  <c r="BP16" i="10"/>
  <c r="N22" i="10"/>
  <c r="BR15" i="10"/>
  <c r="BR16" i="10"/>
  <c r="R22" i="10"/>
  <c r="BS16" i="10"/>
  <c r="AF22" i="10"/>
  <c r="BR12" i="10"/>
  <c r="BS12" i="10"/>
  <c r="AU26" i="10"/>
  <c r="AS26" i="10"/>
  <c r="BR11" i="10"/>
  <c r="J22" i="10"/>
  <c r="F29" i="10"/>
  <c r="H26" i="10"/>
  <c r="H22" i="10"/>
  <c r="F26" i="10"/>
  <c r="AU22" i="10"/>
  <c r="BA22" i="10"/>
  <c r="K20" i="10"/>
  <c r="K22" i="10" s="1"/>
  <c r="AX26" i="10"/>
  <c r="AV26" i="10"/>
  <c r="BO8" i="10"/>
  <c r="BR9" i="10"/>
  <c r="BS9" i="10"/>
  <c r="AG22" i="10"/>
  <c r="BO7" i="10"/>
  <c r="BR8" i="10"/>
  <c r="BE22" i="10"/>
  <c r="BP7" i="10"/>
  <c r="BS8" i="10"/>
  <c r="BO19" i="10"/>
  <c r="O22" i="10"/>
  <c r="BN22" i="10"/>
  <c r="BT22" i="10" s="1"/>
  <c r="T26" i="10"/>
  <c r="BO6" i="10"/>
  <c r="BR7" i="10"/>
  <c r="V26" i="10"/>
  <c r="BS7" i="10"/>
  <c r="BO14" i="10"/>
  <c r="BO4" i="10"/>
  <c r="BP14" i="10"/>
  <c r="BO18" i="10"/>
  <c r="BR19" i="10"/>
  <c r="BQ22" i="10"/>
  <c r="BU22" i="10" s="1"/>
  <c r="BR4" i="10"/>
  <c r="BO17" i="10"/>
  <c r="BR18" i="10"/>
  <c r="AE26" i="10"/>
  <c r="V22" i="10"/>
  <c r="BS22" i="10" l="1"/>
  <c r="BR22" i="10"/>
  <c r="BS26" i="10"/>
  <c r="BQ26" i="10"/>
  <c r="BQ29" i="10"/>
  <c r="BP22" i="10"/>
  <c r="BP26" i="10"/>
  <c r="BO22" i="10"/>
  <c r="BN26" i="10"/>
  <c r="L22" i="10"/>
  <c r="L26" i="10"/>
  <c r="J26" i="10"/>
  <c r="BO20" i="10"/>
  <c r="BJ14" i="9" l="1"/>
  <c r="BG4" i="9" l="1"/>
  <c r="BM4" i="9" s="1"/>
  <c r="BF4" i="9"/>
  <c r="BJ24" i="9"/>
  <c r="BN24" i="9" s="1"/>
  <c r="BJ20" i="9"/>
  <c r="BN20" i="9" s="1"/>
  <c r="BJ19" i="9"/>
  <c r="BN19" i="9" s="1"/>
  <c r="BJ18" i="9"/>
  <c r="BN18" i="9" s="1"/>
  <c r="BJ17" i="9"/>
  <c r="BN17" i="9" s="1"/>
  <c r="BJ16" i="9"/>
  <c r="BN16" i="9" s="1"/>
  <c r="BJ15" i="9"/>
  <c r="BN15" i="9" s="1"/>
  <c r="BJ13" i="9"/>
  <c r="BN13" i="9" s="1"/>
  <c r="BJ12" i="9"/>
  <c r="BN12" i="9" s="1"/>
  <c r="BJ11" i="9"/>
  <c r="BN11" i="9" s="1"/>
  <c r="BJ10" i="9"/>
  <c r="BN10" i="9" s="1"/>
  <c r="BJ9" i="9"/>
  <c r="BN9" i="9" s="1"/>
  <c r="BJ8" i="9"/>
  <c r="BN8" i="9" s="1"/>
  <c r="BJ7" i="9"/>
  <c r="BN7" i="9" s="1"/>
  <c r="BJ6" i="9"/>
  <c r="BN6" i="9" s="1"/>
  <c r="BJ5" i="9"/>
  <c r="BN5" i="9" s="1"/>
  <c r="BJ4" i="9"/>
  <c r="BN4" i="9" s="1"/>
  <c r="BN14" i="9"/>
  <c r="BG24" i="9"/>
  <c r="BM24" i="9" s="1"/>
  <c r="BF20" i="9"/>
  <c r="BG19" i="9"/>
  <c r="BM19" i="9" s="1"/>
  <c r="BF19" i="9"/>
  <c r="BG18" i="9"/>
  <c r="BM18" i="9" s="1"/>
  <c r="BF18" i="9"/>
  <c r="BG17" i="9"/>
  <c r="BM17" i="9" s="1"/>
  <c r="BF17" i="9"/>
  <c r="BG16" i="9"/>
  <c r="BM16" i="9" s="1"/>
  <c r="BF16" i="9"/>
  <c r="BG15" i="9"/>
  <c r="BM15" i="9" s="1"/>
  <c r="BF15" i="9"/>
  <c r="BG14" i="9"/>
  <c r="BM14" i="9" s="1"/>
  <c r="BF14" i="9"/>
  <c r="BG13" i="9"/>
  <c r="BM13" i="9" s="1"/>
  <c r="BF13" i="9"/>
  <c r="BG12" i="9"/>
  <c r="BF12" i="9"/>
  <c r="BG11" i="9"/>
  <c r="BM11" i="9" s="1"/>
  <c r="BF11" i="9"/>
  <c r="BG10" i="9"/>
  <c r="BM10" i="9" s="1"/>
  <c r="BF10" i="9"/>
  <c r="BG9" i="9"/>
  <c r="BM9" i="9" s="1"/>
  <c r="BF9" i="9"/>
  <c r="BG8" i="9"/>
  <c r="BM8" i="9" s="1"/>
  <c r="BF8" i="9"/>
  <c r="BG7" i="9"/>
  <c r="BM7" i="9" s="1"/>
  <c r="BF7" i="9"/>
  <c r="BG6" i="9"/>
  <c r="BM6" i="9" s="1"/>
  <c r="BF6" i="9"/>
  <c r="BG5" i="9"/>
  <c r="BM5" i="9" s="1"/>
  <c r="BF5" i="9"/>
  <c r="BL12" i="9" l="1"/>
  <c r="BI12" i="9"/>
  <c r="BM12" i="9"/>
  <c r="BC22" i="9"/>
  <c r="BC29" i="9" s="1"/>
  <c r="AZ22" i="9"/>
  <c r="AY22" i="9"/>
  <c r="BD20" i="9"/>
  <c r="BA20" i="9"/>
  <c r="BE19" i="9"/>
  <c r="BD19" i="9"/>
  <c r="BB19" i="9"/>
  <c r="BA19" i="9"/>
  <c r="BE18" i="9"/>
  <c r="BD18" i="9"/>
  <c r="BB18" i="9"/>
  <c r="BA18" i="9"/>
  <c r="BE17" i="9"/>
  <c r="BD17" i="9"/>
  <c r="BB17" i="9"/>
  <c r="BA17" i="9"/>
  <c r="BD16" i="9"/>
  <c r="BA16" i="9"/>
  <c r="BE15" i="9"/>
  <c r="BD15" i="9"/>
  <c r="BB15" i="9"/>
  <c r="BA15" i="9"/>
  <c r="BD14" i="9"/>
  <c r="BA14" i="9"/>
  <c r="BE13" i="9"/>
  <c r="BD13" i="9"/>
  <c r="BB13" i="9"/>
  <c r="BA13" i="9"/>
  <c r="BE12" i="9"/>
  <c r="BD12" i="9"/>
  <c r="BB12" i="9"/>
  <c r="BA12" i="9"/>
  <c r="BE11" i="9"/>
  <c r="BD11" i="9"/>
  <c r="BB11" i="9"/>
  <c r="BA11" i="9"/>
  <c r="BE10" i="9"/>
  <c r="BD10" i="9"/>
  <c r="BB10" i="9"/>
  <c r="BA10" i="9"/>
  <c r="BE9" i="9"/>
  <c r="BD9" i="9"/>
  <c r="BB9" i="9"/>
  <c r="BA9" i="9"/>
  <c r="BE8" i="9"/>
  <c r="BD8" i="9"/>
  <c r="BB8" i="9"/>
  <c r="BA8" i="9"/>
  <c r="BE7" i="9"/>
  <c r="BD7" i="9"/>
  <c r="BB7" i="9"/>
  <c r="BA7" i="9"/>
  <c r="BE6" i="9"/>
  <c r="BD6" i="9"/>
  <c r="BB6" i="9"/>
  <c r="BA6" i="9"/>
  <c r="BD5" i="9"/>
  <c r="BA5" i="9"/>
  <c r="BE4" i="9"/>
  <c r="BD4" i="9"/>
  <c r="BB4" i="9"/>
  <c r="BA4" i="9"/>
  <c r="AV22" i="9"/>
  <c r="AS22" i="9"/>
  <c r="AS26" i="9" s="1"/>
  <c r="AR22" i="9"/>
  <c r="AO22" i="9"/>
  <c r="AO29" i="9" s="1"/>
  <c r="AL22" i="9"/>
  <c r="AN26" i="9" s="1"/>
  <c r="AK22" i="9"/>
  <c r="AH22" i="9"/>
  <c r="AJ26" i="9" s="1"/>
  <c r="AE22" i="9"/>
  <c r="AG26" i="9" s="1"/>
  <c r="AD22" i="9"/>
  <c r="AA22" i="9"/>
  <c r="X22" i="9"/>
  <c r="Z26" i="9" s="1"/>
  <c r="W22" i="9"/>
  <c r="T22" i="9"/>
  <c r="Q22" i="9"/>
  <c r="S26" i="9" s="1"/>
  <c r="P22" i="9"/>
  <c r="M22" i="9"/>
  <c r="I22" i="9"/>
  <c r="F22" i="9"/>
  <c r="C22" i="9"/>
  <c r="B22" i="9"/>
  <c r="AW20" i="9"/>
  <c r="AT20" i="9"/>
  <c r="AP20" i="9"/>
  <c r="AM20" i="9"/>
  <c r="AI20" i="9"/>
  <c r="AF20" i="9"/>
  <c r="AB20" i="9"/>
  <c r="Y20" i="9"/>
  <c r="U20" i="9"/>
  <c r="R20" i="9"/>
  <c r="N20" i="9"/>
  <c r="J20" i="9"/>
  <c r="G20" i="9"/>
  <c r="D20" i="9"/>
  <c r="AX19" i="9"/>
  <c r="AW19" i="9"/>
  <c r="AU19" i="9"/>
  <c r="AT19" i="9"/>
  <c r="AQ19" i="9"/>
  <c r="AP19" i="9"/>
  <c r="AN19" i="9"/>
  <c r="AM19" i="9"/>
  <c r="AJ19" i="9"/>
  <c r="AI19" i="9"/>
  <c r="AG19" i="9"/>
  <c r="AF19" i="9"/>
  <c r="AC19" i="9"/>
  <c r="AB19" i="9"/>
  <c r="Z19" i="9"/>
  <c r="Y19" i="9"/>
  <c r="V19" i="9"/>
  <c r="U19" i="9"/>
  <c r="S19" i="9"/>
  <c r="R19" i="9"/>
  <c r="O19" i="9"/>
  <c r="N19" i="9"/>
  <c r="L19" i="9"/>
  <c r="K19" i="9"/>
  <c r="H19" i="9"/>
  <c r="G19" i="9"/>
  <c r="E19" i="9"/>
  <c r="D19" i="9"/>
  <c r="AX18" i="9"/>
  <c r="AW18" i="9"/>
  <c r="AU18" i="9"/>
  <c r="AT18" i="9"/>
  <c r="AQ18" i="9"/>
  <c r="AP18" i="9"/>
  <c r="AN18" i="9"/>
  <c r="AM18" i="9"/>
  <c r="AJ18" i="9"/>
  <c r="AI18" i="9"/>
  <c r="AG18" i="9"/>
  <c r="AF18" i="9"/>
  <c r="AC18" i="9"/>
  <c r="AB18" i="9"/>
  <c r="Z18" i="9"/>
  <c r="Y18" i="9"/>
  <c r="V18" i="9"/>
  <c r="U18" i="9"/>
  <c r="S18" i="9"/>
  <c r="R18" i="9"/>
  <c r="O18" i="9"/>
  <c r="N18" i="9"/>
  <c r="L18" i="9"/>
  <c r="K18" i="9"/>
  <c r="H18" i="9"/>
  <c r="G18" i="9"/>
  <c r="E18" i="9"/>
  <c r="D18" i="9"/>
  <c r="AX17" i="9"/>
  <c r="AW17" i="9"/>
  <c r="AU17" i="9"/>
  <c r="AT17" i="9"/>
  <c r="AQ17" i="9"/>
  <c r="AP17" i="9"/>
  <c r="AN17" i="9"/>
  <c r="AM17" i="9"/>
  <c r="AJ17" i="9"/>
  <c r="AI17" i="9"/>
  <c r="AG17" i="9"/>
  <c r="AF17" i="9"/>
  <c r="AC17" i="9"/>
  <c r="AB17" i="9"/>
  <c r="Z17" i="9"/>
  <c r="Y17" i="9"/>
  <c r="V17" i="9"/>
  <c r="U17" i="9"/>
  <c r="S17" i="9"/>
  <c r="R17" i="9"/>
  <c r="O17" i="9"/>
  <c r="N17" i="9"/>
  <c r="L17" i="9"/>
  <c r="K17" i="9"/>
  <c r="H17" i="9"/>
  <c r="G17" i="9"/>
  <c r="E17" i="9"/>
  <c r="D17" i="9"/>
  <c r="AW16" i="9"/>
  <c r="AT16" i="9"/>
  <c r="AP16" i="9"/>
  <c r="AM16" i="9"/>
  <c r="AI16" i="9"/>
  <c r="AF16" i="9"/>
  <c r="AB16" i="9"/>
  <c r="Y16" i="9"/>
  <c r="U16" i="9"/>
  <c r="R16" i="9"/>
  <c r="O16" i="9"/>
  <c r="N16" i="9"/>
  <c r="L16" i="9"/>
  <c r="K16" i="9"/>
  <c r="H16" i="9"/>
  <c r="G16" i="9"/>
  <c r="E16" i="9"/>
  <c r="D16" i="9"/>
  <c r="AX15" i="9"/>
  <c r="AW15" i="9"/>
  <c r="AU15" i="9"/>
  <c r="AT15" i="9"/>
  <c r="AQ15" i="9"/>
  <c r="AP15" i="9"/>
  <c r="AN15" i="9"/>
  <c r="AM15" i="9"/>
  <c r="AJ15" i="9"/>
  <c r="AI15" i="9"/>
  <c r="AG15" i="9"/>
  <c r="AF15" i="9"/>
  <c r="AC15" i="9"/>
  <c r="AB15" i="9"/>
  <c r="Z15" i="9"/>
  <c r="Y15" i="9"/>
  <c r="V15" i="9"/>
  <c r="U15" i="9"/>
  <c r="S15" i="9"/>
  <c r="R15" i="9"/>
  <c r="O15" i="9"/>
  <c r="N15" i="9"/>
  <c r="L15" i="9"/>
  <c r="K15" i="9"/>
  <c r="H15" i="9"/>
  <c r="G15" i="9"/>
  <c r="E15" i="9"/>
  <c r="D15" i="9"/>
  <c r="AW14" i="9"/>
  <c r="AT14" i="9"/>
  <c r="AP14" i="9"/>
  <c r="AM14" i="9"/>
  <c r="AI14" i="9"/>
  <c r="AF14" i="9"/>
  <c r="AB14" i="9"/>
  <c r="Y14" i="9"/>
  <c r="U14" i="9"/>
  <c r="R14" i="9"/>
  <c r="N14" i="9"/>
  <c r="K14" i="9"/>
  <c r="G14" i="9"/>
  <c r="D14" i="9"/>
  <c r="AX13" i="9"/>
  <c r="AW13" i="9"/>
  <c r="AU13" i="9"/>
  <c r="AT13" i="9"/>
  <c r="AQ13" i="9"/>
  <c r="AP13" i="9"/>
  <c r="AN13" i="9"/>
  <c r="AM13" i="9"/>
  <c r="AJ13" i="9"/>
  <c r="AI13" i="9"/>
  <c r="AG13" i="9"/>
  <c r="AF13" i="9"/>
  <c r="AC13" i="9"/>
  <c r="AB13" i="9"/>
  <c r="Z13" i="9"/>
  <c r="Y13" i="9"/>
  <c r="V13" i="9"/>
  <c r="U13" i="9"/>
  <c r="S13" i="9"/>
  <c r="R13" i="9"/>
  <c r="O13" i="9"/>
  <c r="N13" i="9"/>
  <c r="L13" i="9"/>
  <c r="K13" i="9"/>
  <c r="H13" i="9"/>
  <c r="G13" i="9"/>
  <c r="E13" i="9"/>
  <c r="D13" i="9"/>
  <c r="BK12" i="9"/>
  <c r="AX12" i="9"/>
  <c r="AW12" i="9"/>
  <c r="AU12" i="9"/>
  <c r="AT12" i="9"/>
  <c r="AQ12" i="9"/>
  <c r="AP12" i="9"/>
  <c r="AN12" i="9"/>
  <c r="AM12" i="9"/>
  <c r="AX11" i="9"/>
  <c r="AW11" i="9"/>
  <c r="AU11" i="9"/>
  <c r="AT11" i="9"/>
  <c r="AQ11" i="9"/>
  <c r="AP11" i="9"/>
  <c r="AN11" i="9"/>
  <c r="AM11" i="9"/>
  <c r="AJ11" i="9"/>
  <c r="AI11" i="9"/>
  <c r="AG11" i="9"/>
  <c r="AF11" i="9"/>
  <c r="AC11" i="9"/>
  <c r="AB11" i="9"/>
  <c r="Z11" i="9"/>
  <c r="Y11" i="9"/>
  <c r="V11" i="9"/>
  <c r="U11" i="9"/>
  <c r="S11" i="9"/>
  <c r="R11" i="9"/>
  <c r="O11" i="9"/>
  <c r="N11" i="9"/>
  <c r="L11" i="9"/>
  <c r="K11" i="9"/>
  <c r="H11" i="9"/>
  <c r="G11" i="9"/>
  <c r="E11" i="9"/>
  <c r="D11" i="9"/>
  <c r="AX10" i="9"/>
  <c r="AW10" i="9"/>
  <c r="AU10" i="9"/>
  <c r="AT10" i="9"/>
  <c r="AQ10" i="9"/>
  <c r="AP10" i="9"/>
  <c r="AN10" i="9"/>
  <c r="AM10" i="9"/>
  <c r="AJ10" i="9"/>
  <c r="AI10" i="9"/>
  <c r="AG10" i="9"/>
  <c r="AF10" i="9"/>
  <c r="AC10" i="9"/>
  <c r="AB10" i="9"/>
  <c r="Z10" i="9"/>
  <c r="Y10" i="9"/>
  <c r="V10" i="9"/>
  <c r="U10" i="9"/>
  <c r="S10" i="9"/>
  <c r="R10" i="9"/>
  <c r="O10" i="9"/>
  <c r="N10" i="9"/>
  <c r="L10" i="9"/>
  <c r="K10" i="9"/>
  <c r="H10" i="9"/>
  <c r="G10" i="9"/>
  <c r="E10" i="9"/>
  <c r="D10" i="9"/>
  <c r="AX9" i="9"/>
  <c r="AW9" i="9"/>
  <c r="AU9" i="9"/>
  <c r="AT9" i="9"/>
  <c r="AQ9" i="9"/>
  <c r="AP9" i="9"/>
  <c r="AN9" i="9"/>
  <c r="AM9" i="9"/>
  <c r="AJ9" i="9"/>
  <c r="AI9" i="9"/>
  <c r="AG9" i="9"/>
  <c r="AF9" i="9"/>
  <c r="AC9" i="9"/>
  <c r="AB9" i="9"/>
  <c r="Z9" i="9"/>
  <c r="Y9" i="9"/>
  <c r="V9" i="9"/>
  <c r="U9" i="9"/>
  <c r="S9" i="9"/>
  <c r="R9" i="9"/>
  <c r="O9" i="9"/>
  <c r="N9" i="9"/>
  <c r="L9" i="9"/>
  <c r="K9" i="9"/>
  <c r="H9" i="9"/>
  <c r="G9" i="9"/>
  <c r="E9" i="9"/>
  <c r="D9" i="9"/>
  <c r="BL8" i="9"/>
  <c r="AX8" i="9"/>
  <c r="AW8" i="9"/>
  <c r="AU8" i="9"/>
  <c r="AT8" i="9"/>
  <c r="AQ8" i="9"/>
  <c r="AP8" i="9"/>
  <c r="AN8" i="9"/>
  <c r="AM8" i="9"/>
  <c r="AJ8" i="9"/>
  <c r="AI8" i="9"/>
  <c r="AG8" i="9"/>
  <c r="AF8" i="9"/>
  <c r="AC8" i="9"/>
  <c r="AB8" i="9"/>
  <c r="Z8" i="9"/>
  <c r="Y8" i="9"/>
  <c r="V8" i="9"/>
  <c r="U8" i="9"/>
  <c r="S8" i="9"/>
  <c r="R8" i="9"/>
  <c r="O8" i="9"/>
  <c r="N8" i="9"/>
  <c r="L8" i="9"/>
  <c r="K8" i="9"/>
  <c r="H8" i="9"/>
  <c r="G8" i="9"/>
  <c r="E8" i="9"/>
  <c r="D8" i="9"/>
  <c r="AX7" i="9"/>
  <c r="AW7" i="9"/>
  <c r="AU7" i="9"/>
  <c r="AT7" i="9"/>
  <c r="AQ7" i="9"/>
  <c r="AP7" i="9"/>
  <c r="AN7" i="9"/>
  <c r="AM7" i="9"/>
  <c r="AJ7" i="9"/>
  <c r="AI7" i="9"/>
  <c r="AG7" i="9"/>
  <c r="AF7" i="9"/>
  <c r="AC7" i="9"/>
  <c r="AB7" i="9"/>
  <c r="Z7" i="9"/>
  <c r="Y7" i="9"/>
  <c r="V7" i="9"/>
  <c r="U7" i="9"/>
  <c r="S7" i="9"/>
  <c r="R7" i="9"/>
  <c r="O7" i="9"/>
  <c r="N7" i="9"/>
  <c r="L7" i="9"/>
  <c r="K7" i="9"/>
  <c r="H7" i="9"/>
  <c r="G7" i="9"/>
  <c r="E7" i="9"/>
  <c r="D7" i="9"/>
  <c r="AX6" i="9"/>
  <c r="AW6" i="9"/>
  <c r="AU6" i="9"/>
  <c r="AT6" i="9"/>
  <c r="AQ6" i="9"/>
  <c r="AP6" i="9"/>
  <c r="AN6" i="9"/>
  <c r="AM6" i="9"/>
  <c r="AJ6" i="9"/>
  <c r="AI6" i="9"/>
  <c r="AG6" i="9"/>
  <c r="AF6" i="9"/>
  <c r="AC6" i="9"/>
  <c r="AB6" i="9"/>
  <c r="Z6" i="9"/>
  <c r="Y6" i="9"/>
  <c r="V6" i="9"/>
  <c r="U6" i="9"/>
  <c r="S6" i="9"/>
  <c r="R6" i="9"/>
  <c r="O6" i="9"/>
  <c r="N6" i="9"/>
  <c r="L6" i="9"/>
  <c r="K6" i="9"/>
  <c r="H6" i="9"/>
  <c r="G6" i="9"/>
  <c r="E6" i="9"/>
  <c r="D6" i="9"/>
  <c r="AW5" i="9"/>
  <c r="AT5" i="9"/>
  <c r="AP5" i="9"/>
  <c r="AM5" i="9"/>
  <c r="AI5" i="9"/>
  <c r="AF5" i="9"/>
  <c r="AB5" i="9"/>
  <c r="Y5" i="9"/>
  <c r="U5" i="9"/>
  <c r="R5" i="9"/>
  <c r="N5" i="9"/>
  <c r="K5" i="9"/>
  <c r="G5" i="9"/>
  <c r="D5" i="9"/>
  <c r="AX4" i="9"/>
  <c r="AW4" i="9"/>
  <c r="AU4" i="9"/>
  <c r="AT4" i="9"/>
  <c r="AQ4" i="9"/>
  <c r="AP4" i="9"/>
  <c r="AN4" i="9"/>
  <c r="AM4" i="9"/>
  <c r="AJ4" i="9"/>
  <c r="AI4" i="9"/>
  <c r="AG4" i="9"/>
  <c r="AF4" i="9"/>
  <c r="AC4" i="9"/>
  <c r="AB4" i="9"/>
  <c r="Z4" i="9"/>
  <c r="Y4" i="9"/>
  <c r="V4" i="9"/>
  <c r="U4" i="9"/>
  <c r="S4" i="9"/>
  <c r="R4" i="9"/>
  <c r="O4" i="9"/>
  <c r="N4" i="9"/>
  <c r="L4" i="9"/>
  <c r="K4" i="9"/>
  <c r="H4" i="9"/>
  <c r="G4" i="9"/>
  <c r="E4" i="9"/>
  <c r="D4" i="9"/>
  <c r="AC26" i="9" l="1"/>
  <c r="AA26" i="9"/>
  <c r="T29" i="9"/>
  <c r="T26" i="9"/>
  <c r="C26" i="9"/>
  <c r="E26" i="9"/>
  <c r="H22" i="9"/>
  <c r="E22" i="9"/>
  <c r="AM22" i="9"/>
  <c r="AB22" i="9"/>
  <c r="AV29" i="9"/>
  <c r="AV26" i="9"/>
  <c r="AX26" i="9"/>
  <c r="K20" i="9"/>
  <c r="K22" i="9" s="1"/>
  <c r="J22" i="9"/>
  <c r="J26" i="9" s="1"/>
  <c r="BG20" i="9"/>
  <c r="AH26" i="9"/>
  <c r="AZ26" i="9"/>
  <c r="BD22" i="9"/>
  <c r="BA22" i="9"/>
  <c r="F26" i="9"/>
  <c r="BL9" i="9"/>
  <c r="H26" i="9"/>
  <c r="BI15" i="9"/>
  <c r="AJ22" i="9"/>
  <c r="F29" i="9"/>
  <c r="BB22" i="9"/>
  <c r="U22" i="9"/>
  <c r="BH19" i="9"/>
  <c r="Y22" i="9"/>
  <c r="AI22" i="9"/>
  <c r="BL11" i="9"/>
  <c r="G22" i="9"/>
  <c r="BL18" i="9"/>
  <c r="BH16" i="9"/>
  <c r="AA29" i="9"/>
  <c r="O22" i="9"/>
  <c r="BI11" i="9"/>
  <c r="BI9" i="9"/>
  <c r="R22" i="9"/>
  <c r="BL15" i="9"/>
  <c r="M29" i="9"/>
  <c r="AP22" i="9"/>
  <c r="BI16" i="9"/>
  <c r="BE22" i="9"/>
  <c r="BL6" i="9"/>
  <c r="N22" i="9"/>
  <c r="AT22" i="9"/>
  <c r="BB26" i="9"/>
  <c r="M26" i="9"/>
  <c r="D22" i="9"/>
  <c r="AW22" i="9"/>
  <c r="BL4" i="9"/>
  <c r="BH12" i="9"/>
  <c r="AU22" i="9"/>
  <c r="BC26" i="9"/>
  <c r="BJ22" i="9"/>
  <c r="BN22" i="9" s="1"/>
  <c r="BE26" i="9"/>
  <c r="AF22" i="9"/>
  <c r="BF22" i="9"/>
  <c r="BH10" i="9"/>
  <c r="BI19" i="9"/>
  <c r="AN22" i="9"/>
  <c r="AL26" i="9"/>
  <c r="BI10" i="9"/>
  <c r="BH13" i="9"/>
  <c r="BK16" i="9"/>
  <c r="S22" i="9"/>
  <c r="BK7" i="9"/>
  <c r="BI13" i="9"/>
  <c r="BH14" i="9"/>
  <c r="BL16" i="9"/>
  <c r="BK19" i="9"/>
  <c r="AO26" i="9"/>
  <c r="BL7" i="9"/>
  <c r="BK10" i="9"/>
  <c r="BL19" i="9"/>
  <c r="BK20" i="9"/>
  <c r="AQ22" i="9"/>
  <c r="AQ26" i="9"/>
  <c r="BL10" i="9"/>
  <c r="BK13" i="9"/>
  <c r="BK14" i="9"/>
  <c r="V22" i="9"/>
  <c r="BL13" i="9"/>
  <c r="AU26" i="9"/>
  <c r="BH6" i="9"/>
  <c r="BH18" i="9"/>
  <c r="BI6" i="9"/>
  <c r="BH9" i="9"/>
  <c r="BI18" i="9"/>
  <c r="Z22" i="9"/>
  <c r="BK6" i="9"/>
  <c r="BK18" i="9"/>
  <c r="O26" i="9"/>
  <c r="BK9" i="9"/>
  <c r="AX22" i="9"/>
  <c r="Q26" i="9"/>
  <c r="AC22" i="9"/>
  <c r="BH7" i="9"/>
  <c r="BI7" i="9"/>
  <c r="BH17" i="9"/>
  <c r="V26" i="9"/>
  <c r="BH4" i="9"/>
  <c r="BH8" i="9"/>
  <c r="BI17" i="9"/>
  <c r="X26" i="9"/>
  <c r="BI4" i="9"/>
  <c r="BH5" i="9"/>
  <c r="BI8" i="9"/>
  <c r="BH11" i="9"/>
  <c r="BH15" i="9"/>
  <c r="AG22" i="9"/>
  <c r="BK17" i="9"/>
  <c r="AH29" i="9"/>
  <c r="BK4" i="9"/>
  <c r="BK5" i="9"/>
  <c r="BK8" i="9"/>
  <c r="BL17" i="9"/>
  <c r="BK11" i="9"/>
  <c r="BK15" i="9"/>
  <c r="AE26" i="9"/>
  <c r="L22" i="9" l="1"/>
  <c r="L26" i="9"/>
  <c r="BM20" i="9"/>
  <c r="BG22" i="9"/>
  <c r="BI22" i="9" s="1"/>
  <c r="BL22" i="9"/>
  <c r="BK22" i="9"/>
  <c r="BJ29" i="9"/>
  <c r="BJ26" i="9"/>
  <c r="BL26" i="9"/>
  <c r="BH20" i="9"/>
  <c r="BI26" i="9" l="1"/>
  <c r="BM22" i="9"/>
  <c r="BH22" i="9"/>
  <c r="BG26" i="9"/>
  <c r="AQ12" i="7"/>
  <c r="AQ12" i="8" l="1"/>
  <c r="AL22" i="8"/>
  <c r="AL26" i="8" s="1"/>
  <c r="BC5" i="8" l="1"/>
  <c r="BG5" i="8" s="1"/>
  <c r="BC6" i="8"/>
  <c r="BG6" i="8" s="1"/>
  <c r="BC7" i="8"/>
  <c r="BG7" i="8" s="1"/>
  <c r="BC8" i="8"/>
  <c r="BG8" i="8" s="1"/>
  <c r="BC9" i="8"/>
  <c r="BG9" i="8" s="1"/>
  <c r="BC10" i="8"/>
  <c r="BG10" i="8" s="1"/>
  <c r="BC11" i="8"/>
  <c r="BG11" i="8" s="1"/>
  <c r="BC12" i="8"/>
  <c r="BG12" i="8" s="1"/>
  <c r="BC13" i="8"/>
  <c r="BG13" i="8" s="1"/>
  <c r="BC14" i="8"/>
  <c r="BG14" i="8" s="1"/>
  <c r="BC15" i="8"/>
  <c r="BG15" i="8" s="1"/>
  <c r="BC16" i="8"/>
  <c r="BG16" i="8" s="1"/>
  <c r="BC17" i="8"/>
  <c r="BG17" i="8" s="1"/>
  <c r="BC18" i="8"/>
  <c r="BG18" i="8" s="1"/>
  <c r="BC19" i="8"/>
  <c r="BG19" i="8" s="1"/>
  <c r="BC20" i="8"/>
  <c r="BG20" i="8" s="1"/>
  <c r="BC4" i="8"/>
  <c r="BG4" i="8" s="1"/>
  <c r="BC24" i="8"/>
  <c r="BG24" i="8" s="1"/>
  <c r="AZ24" i="8"/>
  <c r="BF24" i="8" s="1"/>
  <c r="AY20" i="8"/>
  <c r="AZ19" i="8"/>
  <c r="BF19" i="8" s="1"/>
  <c r="AY19" i="8"/>
  <c r="AZ18" i="8"/>
  <c r="BF18" i="8" s="1"/>
  <c r="AY18" i="8"/>
  <c r="AZ17" i="8"/>
  <c r="BF17" i="8" s="1"/>
  <c r="AY17" i="8"/>
  <c r="AZ16" i="8"/>
  <c r="BF16" i="8" s="1"/>
  <c r="AY16" i="8"/>
  <c r="AZ15" i="8"/>
  <c r="BF15" i="8" s="1"/>
  <c r="AY15" i="8"/>
  <c r="AZ14" i="8"/>
  <c r="BF14" i="8" s="1"/>
  <c r="AY14" i="8"/>
  <c r="AZ13" i="8"/>
  <c r="BF13" i="8" s="1"/>
  <c r="AY13" i="8"/>
  <c r="AZ12" i="8"/>
  <c r="BF12" i="8" s="1"/>
  <c r="AY12" i="8"/>
  <c r="AZ11" i="8"/>
  <c r="BF11" i="8" s="1"/>
  <c r="AY11" i="8"/>
  <c r="AZ10" i="8"/>
  <c r="BF10" i="8" s="1"/>
  <c r="AY10" i="8"/>
  <c r="AZ9" i="8"/>
  <c r="BF9" i="8" s="1"/>
  <c r="AY9" i="8"/>
  <c r="AZ8" i="8"/>
  <c r="BF8" i="8" s="1"/>
  <c r="AY8" i="8"/>
  <c r="AZ7" i="8"/>
  <c r="BF7" i="8" s="1"/>
  <c r="AY7" i="8"/>
  <c r="AZ6" i="8"/>
  <c r="BF6" i="8" s="1"/>
  <c r="AY6" i="8"/>
  <c r="AZ5" i="8"/>
  <c r="BF5" i="8" s="1"/>
  <c r="AY5" i="8"/>
  <c r="AZ4" i="8"/>
  <c r="BF4" i="8" s="1"/>
  <c r="AY4" i="8"/>
  <c r="AU12" i="8"/>
  <c r="AX12" i="8"/>
  <c r="AO22" i="8"/>
  <c r="AO29" i="8" s="1"/>
  <c r="AN26" i="8"/>
  <c r="AK22" i="8"/>
  <c r="AP20" i="8"/>
  <c r="AM20" i="8"/>
  <c r="AQ19" i="8"/>
  <c r="AP19" i="8"/>
  <c r="AN19" i="8"/>
  <c r="AM19" i="8"/>
  <c r="AQ18" i="8"/>
  <c r="AP18" i="8"/>
  <c r="AN18" i="8"/>
  <c r="AM18" i="8"/>
  <c r="AQ17" i="8"/>
  <c r="AP17" i="8"/>
  <c r="AN17" i="8"/>
  <c r="AM17" i="8"/>
  <c r="AP16" i="8"/>
  <c r="AM16" i="8"/>
  <c r="AQ15" i="8"/>
  <c r="AP15" i="8"/>
  <c r="AN15" i="8"/>
  <c r="AM15" i="8"/>
  <c r="AP14" i="8"/>
  <c r="AM14" i="8"/>
  <c r="AQ13" i="8"/>
  <c r="AP13" i="8"/>
  <c r="AN13" i="8"/>
  <c r="AM13" i="8"/>
  <c r="AP12" i="8"/>
  <c r="AN12" i="8"/>
  <c r="AM12" i="8"/>
  <c r="AQ11" i="8"/>
  <c r="AP11" i="8"/>
  <c r="AN11" i="8"/>
  <c r="AM11" i="8"/>
  <c r="AQ10" i="8"/>
  <c r="AP10" i="8"/>
  <c r="AN10" i="8"/>
  <c r="AM10" i="8"/>
  <c r="AQ9" i="8"/>
  <c r="AP9" i="8"/>
  <c r="AN9" i="8"/>
  <c r="AM9" i="8"/>
  <c r="AQ8" i="8"/>
  <c r="AP8" i="8"/>
  <c r="AN8" i="8"/>
  <c r="AM8" i="8"/>
  <c r="AQ7" i="8"/>
  <c r="AP7" i="8"/>
  <c r="AN7" i="8"/>
  <c r="AM7" i="8"/>
  <c r="AQ6" i="8"/>
  <c r="AP6" i="8"/>
  <c r="AN6" i="8"/>
  <c r="AM6" i="8"/>
  <c r="AP5" i="8"/>
  <c r="AM5" i="8"/>
  <c r="AQ4" i="8"/>
  <c r="AP4" i="8"/>
  <c r="AN4" i="8"/>
  <c r="AM4" i="8"/>
  <c r="N57" i="3"/>
  <c r="O57" i="3" s="1"/>
  <c r="M63" i="3"/>
  <c r="L63" i="3"/>
  <c r="K63" i="3"/>
  <c r="J63" i="3"/>
  <c r="M62" i="3"/>
  <c r="L62" i="3"/>
  <c r="K62" i="3"/>
  <c r="J62" i="3"/>
  <c r="I62" i="3"/>
  <c r="H62" i="3"/>
  <c r="G62" i="3"/>
  <c r="F62" i="3"/>
  <c r="E62" i="3"/>
  <c r="D62" i="3"/>
  <c r="C62" i="3"/>
  <c r="B62" i="3"/>
  <c r="N62" i="3" s="1"/>
  <c r="O62" i="3" s="1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O60" i="3" s="1"/>
  <c r="M59" i="3"/>
  <c r="L59" i="3"/>
  <c r="K59" i="3"/>
  <c r="J59" i="3"/>
  <c r="I59" i="3"/>
  <c r="H59" i="3"/>
  <c r="G59" i="3"/>
  <c r="F59" i="3"/>
  <c r="E59" i="3"/>
  <c r="D59" i="3"/>
  <c r="C59" i="3"/>
  <c r="B59" i="3"/>
  <c r="M58" i="3"/>
  <c r="L58" i="3"/>
  <c r="K58" i="3"/>
  <c r="J58" i="3"/>
  <c r="I58" i="3"/>
  <c r="H58" i="3"/>
  <c r="G58" i="3"/>
  <c r="F58" i="3"/>
  <c r="E58" i="3"/>
  <c r="D58" i="3"/>
  <c r="C58" i="3"/>
  <c r="B58" i="3"/>
  <c r="M56" i="3"/>
  <c r="L56" i="3"/>
  <c r="K56" i="3"/>
  <c r="J56" i="3"/>
  <c r="I56" i="3"/>
  <c r="H56" i="3"/>
  <c r="G56" i="3"/>
  <c r="F56" i="3"/>
  <c r="E56" i="3"/>
  <c r="D56" i="3"/>
  <c r="C56" i="3"/>
  <c r="B56" i="3"/>
  <c r="M55" i="3"/>
  <c r="L55" i="3"/>
  <c r="K55" i="3"/>
  <c r="J55" i="3"/>
  <c r="I55" i="3"/>
  <c r="H55" i="3"/>
  <c r="G55" i="3"/>
  <c r="F55" i="3"/>
  <c r="E55" i="3"/>
  <c r="D55" i="3"/>
  <c r="C55" i="3"/>
  <c r="B55" i="3"/>
  <c r="M54" i="3"/>
  <c r="L54" i="3"/>
  <c r="K54" i="3"/>
  <c r="J54" i="3"/>
  <c r="N53" i="3"/>
  <c r="O53" i="3" s="1"/>
  <c r="M52" i="3"/>
  <c r="L52" i="3"/>
  <c r="K52" i="3"/>
  <c r="J52" i="3"/>
  <c r="I52" i="3"/>
  <c r="H52" i="3"/>
  <c r="G52" i="3"/>
  <c r="F52" i="3"/>
  <c r="E52" i="3"/>
  <c r="D52" i="3"/>
  <c r="C52" i="3"/>
  <c r="B52" i="3"/>
  <c r="M51" i="3"/>
  <c r="N51" i="3" s="1"/>
  <c r="O51" i="3" s="1"/>
  <c r="M49" i="3"/>
  <c r="L49" i="3"/>
  <c r="K49" i="3"/>
  <c r="J49" i="3"/>
  <c r="I49" i="3"/>
  <c r="H49" i="3"/>
  <c r="G49" i="3"/>
  <c r="F49" i="3"/>
  <c r="E49" i="3"/>
  <c r="D49" i="3"/>
  <c r="C49" i="3"/>
  <c r="B49" i="3"/>
  <c r="N49" i="3" s="1"/>
  <c r="N59" i="3" l="1"/>
  <c r="O59" i="3" s="1"/>
  <c r="AY22" i="8"/>
  <c r="N58" i="3"/>
  <c r="O58" i="3" s="1"/>
  <c r="AP22" i="8"/>
  <c r="AM22" i="8"/>
  <c r="AN22" i="8"/>
  <c r="AQ22" i="8"/>
  <c r="AO26" i="8"/>
  <c r="AQ26" i="8"/>
  <c r="J66" i="3"/>
  <c r="N54" i="3"/>
  <c r="O54" i="3" s="1"/>
  <c r="L66" i="3"/>
  <c r="C66" i="3"/>
  <c r="E66" i="3"/>
  <c r="I66" i="3"/>
  <c r="N55" i="3"/>
  <c r="O55" i="3" s="1"/>
  <c r="N52" i="3"/>
  <c r="O52" i="3" s="1"/>
  <c r="D66" i="3"/>
  <c r="F66" i="3"/>
  <c r="N63" i="3"/>
  <c r="O63" i="3" s="1"/>
  <c r="N56" i="3"/>
  <c r="K66" i="3"/>
  <c r="G66" i="3"/>
  <c r="H66" i="3"/>
  <c r="N61" i="3"/>
  <c r="O61" i="3" s="1"/>
  <c r="O49" i="3"/>
  <c r="B66" i="3"/>
  <c r="M66" i="3"/>
  <c r="O56" i="3" l="1"/>
  <c r="O66" i="3" s="1"/>
  <c r="N66" i="3"/>
  <c r="AN12" i="7"/>
  <c r="AV22" i="8" l="1"/>
  <c r="AV29" i="8" s="1"/>
  <c r="AS22" i="8"/>
  <c r="AU26" i="8" s="1"/>
  <c r="AR22" i="8"/>
  <c r="AW20" i="8"/>
  <c r="AT20" i="8"/>
  <c r="AX19" i="8"/>
  <c r="AW19" i="8"/>
  <c r="AU19" i="8"/>
  <c r="AT19" i="8"/>
  <c r="AX18" i="8"/>
  <c r="AW18" i="8"/>
  <c r="AU18" i="8"/>
  <c r="AT18" i="8"/>
  <c r="AX17" i="8"/>
  <c r="AW17" i="8"/>
  <c r="AU17" i="8"/>
  <c r="AT17" i="8"/>
  <c r="AW16" i="8"/>
  <c r="AT16" i="8"/>
  <c r="AX15" i="8"/>
  <c r="AW15" i="8"/>
  <c r="AU15" i="8"/>
  <c r="AT15" i="8"/>
  <c r="AW14" i="8"/>
  <c r="AT14" i="8"/>
  <c r="AX13" i="8"/>
  <c r="AW13" i="8"/>
  <c r="AU13" i="8"/>
  <c r="AT13" i="8"/>
  <c r="AW12" i="8"/>
  <c r="AT12" i="8"/>
  <c r="AX11" i="8"/>
  <c r="AW11" i="8"/>
  <c r="AU11" i="8"/>
  <c r="AT11" i="8"/>
  <c r="AX10" i="8"/>
  <c r="AW10" i="8"/>
  <c r="AU10" i="8"/>
  <c r="AT10" i="8"/>
  <c r="AX9" i="8"/>
  <c r="AW9" i="8"/>
  <c r="AU9" i="8"/>
  <c r="AT9" i="8"/>
  <c r="AX8" i="8"/>
  <c r="AW8" i="8"/>
  <c r="AU8" i="8"/>
  <c r="AT8" i="8"/>
  <c r="AX7" i="8"/>
  <c r="AW7" i="8"/>
  <c r="AU7" i="8"/>
  <c r="AT7" i="8"/>
  <c r="AX6" i="8"/>
  <c r="AW6" i="8"/>
  <c r="AU6" i="8"/>
  <c r="AT6" i="8"/>
  <c r="AW5" i="8"/>
  <c r="AT5" i="8"/>
  <c r="AX4" i="8"/>
  <c r="AW4" i="8"/>
  <c r="AU4" i="8"/>
  <c r="AT4" i="8"/>
  <c r="AH22" i="8"/>
  <c r="AH29" i="8" s="1"/>
  <c r="AE22" i="8"/>
  <c r="AD22" i="8"/>
  <c r="AA22" i="8"/>
  <c r="AA29" i="8" s="1"/>
  <c r="X22" i="8"/>
  <c r="W22" i="8"/>
  <c r="T22" i="8"/>
  <c r="Q22" i="8"/>
  <c r="P22" i="8"/>
  <c r="M22" i="8"/>
  <c r="M29" i="8" s="1"/>
  <c r="I22" i="8"/>
  <c r="F22" i="8"/>
  <c r="F29" i="8" s="1"/>
  <c r="C22" i="8"/>
  <c r="B22" i="8"/>
  <c r="AI20" i="8"/>
  <c r="AF20" i="8"/>
  <c r="AB20" i="8"/>
  <c r="Y20" i="8"/>
  <c r="U20" i="8"/>
  <c r="R20" i="8"/>
  <c r="N20" i="8"/>
  <c r="J20" i="8"/>
  <c r="G20" i="8"/>
  <c r="D20" i="8"/>
  <c r="BE19" i="8"/>
  <c r="AJ19" i="8"/>
  <c r="AI19" i="8"/>
  <c r="AG19" i="8"/>
  <c r="AF19" i="8"/>
  <c r="AC19" i="8"/>
  <c r="AB19" i="8"/>
  <c r="Z19" i="8"/>
  <c r="Y19" i="8"/>
  <c r="V19" i="8"/>
  <c r="U19" i="8"/>
  <c r="S19" i="8"/>
  <c r="R19" i="8"/>
  <c r="O19" i="8"/>
  <c r="N19" i="8"/>
  <c r="L19" i="8"/>
  <c r="K19" i="8"/>
  <c r="H19" i="8"/>
  <c r="G19" i="8"/>
  <c r="E19" i="8"/>
  <c r="D19" i="8"/>
  <c r="AJ18" i="8"/>
  <c r="AI18" i="8"/>
  <c r="AG18" i="8"/>
  <c r="AF18" i="8"/>
  <c r="AC18" i="8"/>
  <c r="AB18" i="8"/>
  <c r="Z18" i="8"/>
  <c r="Y18" i="8"/>
  <c r="V18" i="8"/>
  <c r="U18" i="8"/>
  <c r="S18" i="8"/>
  <c r="R18" i="8"/>
  <c r="O18" i="8"/>
  <c r="N18" i="8"/>
  <c r="L18" i="8"/>
  <c r="K18" i="8"/>
  <c r="H18" i="8"/>
  <c r="G18" i="8"/>
  <c r="E18" i="8"/>
  <c r="D18" i="8"/>
  <c r="BE17" i="8"/>
  <c r="AJ17" i="8"/>
  <c r="AI17" i="8"/>
  <c r="AG17" i="8"/>
  <c r="AF17" i="8"/>
  <c r="AC17" i="8"/>
  <c r="AB17" i="8"/>
  <c r="Z17" i="8"/>
  <c r="Y17" i="8"/>
  <c r="V17" i="8"/>
  <c r="U17" i="8"/>
  <c r="S17" i="8"/>
  <c r="R17" i="8"/>
  <c r="O17" i="8"/>
  <c r="N17" i="8"/>
  <c r="L17" i="8"/>
  <c r="K17" i="8"/>
  <c r="H17" i="8"/>
  <c r="G17" i="8"/>
  <c r="E17" i="8"/>
  <c r="D17" i="8"/>
  <c r="AI16" i="8"/>
  <c r="AF16" i="8"/>
  <c r="AB16" i="8"/>
  <c r="Y16" i="8"/>
  <c r="U16" i="8"/>
  <c r="R16" i="8"/>
  <c r="O16" i="8"/>
  <c r="N16" i="8"/>
  <c r="L16" i="8"/>
  <c r="K16" i="8"/>
  <c r="H16" i="8"/>
  <c r="G16" i="8"/>
  <c r="E16" i="8"/>
  <c r="D16" i="8"/>
  <c r="AJ15" i="8"/>
  <c r="AI15" i="8"/>
  <c r="AG15" i="8"/>
  <c r="AF15" i="8"/>
  <c r="AC15" i="8"/>
  <c r="AB15" i="8"/>
  <c r="Z15" i="8"/>
  <c r="Y15" i="8"/>
  <c r="V15" i="8"/>
  <c r="U15" i="8"/>
  <c r="S15" i="8"/>
  <c r="R15" i="8"/>
  <c r="O15" i="8"/>
  <c r="N15" i="8"/>
  <c r="L15" i="8"/>
  <c r="K15" i="8"/>
  <c r="H15" i="8"/>
  <c r="G15" i="8"/>
  <c r="E15" i="8"/>
  <c r="D15" i="8"/>
  <c r="AI14" i="8"/>
  <c r="AF14" i="8"/>
  <c r="AB14" i="8"/>
  <c r="Y14" i="8"/>
  <c r="U14" i="8"/>
  <c r="R14" i="8"/>
  <c r="N14" i="8"/>
  <c r="K14" i="8"/>
  <c r="G14" i="8"/>
  <c r="D14" i="8"/>
  <c r="BE13" i="8"/>
  <c r="AJ13" i="8"/>
  <c r="AI13" i="8"/>
  <c r="AG13" i="8"/>
  <c r="AF13" i="8"/>
  <c r="AC13" i="8"/>
  <c r="AB13" i="8"/>
  <c r="Z13" i="8"/>
  <c r="Y13" i="8"/>
  <c r="V13" i="8"/>
  <c r="U13" i="8"/>
  <c r="S13" i="8"/>
  <c r="R13" i="8"/>
  <c r="O13" i="8"/>
  <c r="N13" i="8"/>
  <c r="L13" i="8"/>
  <c r="K13" i="8"/>
  <c r="H13" i="8"/>
  <c r="G13" i="8"/>
  <c r="E13" i="8"/>
  <c r="D13" i="8"/>
  <c r="AJ11" i="8"/>
  <c r="AI11" i="8"/>
  <c r="AG11" i="8"/>
  <c r="AF11" i="8"/>
  <c r="AC11" i="8"/>
  <c r="AB11" i="8"/>
  <c r="Z11" i="8"/>
  <c r="Y11" i="8"/>
  <c r="V11" i="8"/>
  <c r="U11" i="8"/>
  <c r="S11" i="8"/>
  <c r="R11" i="8"/>
  <c r="O11" i="8"/>
  <c r="N11" i="8"/>
  <c r="L11" i="8"/>
  <c r="K11" i="8"/>
  <c r="H11" i="8"/>
  <c r="G11" i="8"/>
  <c r="E11" i="8"/>
  <c r="D11" i="8"/>
  <c r="AJ10" i="8"/>
  <c r="AI10" i="8"/>
  <c r="AG10" i="8"/>
  <c r="AF10" i="8"/>
  <c r="AC10" i="8"/>
  <c r="AB10" i="8"/>
  <c r="Z10" i="8"/>
  <c r="Y10" i="8"/>
  <c r="V10" i="8"/>
  <c r="U10" i="8"/>
  <c r="S10" i="8"/>
  <c r="R10" i="8"/>
  <c r="O10" i="8"/>
  <c r="N10" i="8"/>
  <c r="L10" i="8"/>
  <c r="K10" i="8"/>
  <c r="H10" i="8"/>
  <c r="G10" i="8"/>
  <c r="E10" i="8"/>
  <c r="D10" i="8"/>
  <c r="AJ9" i="8"/>
  <c r="AI9" i="8"/>
  <c r="AG9" i="8"/>
  <c r="AF9" i="8"/>
  <c r="AC9" i="8"/>
  <c r="AB9" i="8"/>
  <c r="Z9" i="8"/>
  <c r="Y9" i="8"/>
  <c r="V9" i="8"/>
  <c r="U9" i="8"/>
  <c r="S9" i="8"/>
  <c r="R9" i="8"/>
  <c r="O9" i="8"/>
  <c r="N9" i="8"/>
  <c r="L9" i="8"/>
  <c r="K9" i="8"/>
  <c r="H9" i="8"/>
  <c r="G9" i="8"/>
  <c r="E9" i="8"/>
  <c r="D9" i="8"/>
  <c r="AJ8" i="8"/>
  <c r="AI8" i="8"/>
  <c r="AG8" i="8"/>
  <c r="AF8" i="8"/>
  <c r="AC8" i="8"/>
  <c r="AB8" i="8"/>
  <c r="Z8" i="8"/>
  <c r="Y8" i="8"/>
  <c r="V8" i="8"/>
  <c r="U8" i="8"/>
  <c r="S8" i="8"/>
  <c r="R8" i="8"/>
  <c r="O8" i="8"/>
  <c r="N8" i="8"/>
  <c r="L8" i="8"/>
  <c r="K8" i="8"/>
  <c r="H8" i="8"/>
  <c r="G8" i="8"/>
  <c r="E8" i="8"/>
  <c r="D8" i="8"/>
  <c r="AJ7" i="8"/>
  <c r="AI7" i="8"/>
  <c r="AG7" i="8"/>
  <c r="AF7" i="8"/>
  <c r="AC7" i="8"/>
  <c r="AB7" i="8"/>
  <c r="Z7" i="8"/>
  <c r="Y7" i="8"/>
  <c r="V7" i="8"/>
  <c r="U7" i="8"/>
  <c r="S7" i="8"/>
  <c r="R7" i="8"/>
  <c r="O7" i="8"/>
  <c r="N7" i="8"/>
  <c r="L7" i="8"/>
  <c r="K7" i="8"/>
  <c r="H7" i="8"/>
  <c r="G7" i="8"/>
  <c r="E7" i="8"/>
  <c r="D7" i="8"/>
  <c r="AJ6" i="8"/>
  <c r="AI6" i="8"/>
  <c r="AG6" i="8"/>
  <c r="AF6" i="8"/>
  <c r="AC6" i="8"/>
  <c r="AB6" i="8"/>
  <c r="Z6" i="8"/>
  <c r="Y6" i="8"/>
  <c r="V6" i="8"/>
  <c r="U6" i="8"/>
  <c r="S6" i="8"/>
  <c r="R6" i="8"/>
  <c r="O6" i="8"/>
  <c r="N6" i="8"/>
  <c r="L6" i="8"/>
  <c r="K6" i="8"/>
  <c r="H6" i="8"/>
  <c r="G6" i="8"/>
  <c r="E6" i="8"/>
  <c r="D6" i="8"/>
  <c r="AI5" i="8"/>
  <c r="AF5" i="8"/>
  <c r="AB5" i="8"/>
  <c r="Y5" i="8"/>
  <c r="U5" i="8"/>
  <c r="R5" i="8"/>
  <c r="N5" i="8"/>
  <c r="K5" i="8"/>
  <c r="G5" i="8"/>
  <c r="D5" i="8"/>
  <c r="AJ4" i="8"/>
  <c r="AI4" i="8"/>
  <c r="AG4" i="8"/>
  <c r="AF4" i="8"/>
  <c r="AC4" i="8"/>
  <c r="AB4" i="8"/>
  <c r="Z4" i="8"/>
  <c r="Y4" i="8"/>
  <c r="V4" i="8"/>
  <c r="U4" i="8"/>
  <c r="S4" i="8"/>
  <c r="R4" i="8"/>
  <c r="O4" i="8"/>
  <c r="N4" i="8"/>
  <c r="L4" i="8"/>
  <c r="K4" i="8"/>
  <c r="H4" i="8"/>
  <c r="G4" i="8"/>
  <c r="E4" i="8"/>
  <c r="D4" i="8"/>
  <c r="AL22" i="7"/>
  <c r="AR12" i="7"/>
  <c r="AP12" i="7"/>
  <c r="AM12" i="7"/>
  <c r="AV12" i="7"/>
  <c r="AS12" i="7"/>
  <c r="AE26" i="8" l="1"/>
  <c r="AG26" i="8"/>
  <c r="AW12" i="7"/>
  <c r="AB22" i="8"/>
  <c r="X26" i="8"/>
  <c r="Z26" i="8"/>
  <c r="V26" i="8"/>
  <c r="T26" i="8"/>
  <c r="Q26" i="8"/>
  <c r="S26" i="8"/>
  <c r="E26" i="8"/>
  <c r="C26" i="8"/>
  <c r="J22" i="8"/>
  <c r="AZ20" i="8"/>
  <c r="AT12" i="7"/>
  <c r="AY12" i="7"/>
  <c r="AU12" i="7"/>
  <c r="AA26" i="8"/>
  <c r="AH26" i="8"/>
  <c r="AJ26" i="8"/>
  <c r="AZ12" i="7"/>
  <c r="AX12" i="7"/>
  <c r="BB11" i="8"/>
  <c r="BE11" i="8"/>
  <c r="BB10" i="8"/>
  <c r="BD13" i="8"/>
  <c r="BD19" i="8"/>
  <c r="BE7" i="8"/>
  <c r="BE10" i="8"/>
  <c r="AW22" i="8"/>
  <c r="AT22" i="8"/>
  <c r="BD20" i="8"/>
  <c r="BA8" i="8"/>
  <c r="E22" i="8"/>
  <c r="AI22" i="8"/>
  <c r="BD5" i="8"/>
  <c r="AU22" i="8"/>
  <c r="BE9" i="8"/>
  <c r="BD14" i="8"/>
  <c r="BB6" i="8"/>
  <c r="BD6" i="8"/>
  <c r="BD15" i="8"/>
  <c r="R22" i="8"/>
  <c r="AX22" i="8"/>
  <c r="AF22" i="8"/>
  <c r="BE8" i="8"/>
  <c r="BA12" i="8"/>
  <c r="BB4" i="8"/>
  <c r="BC22" i="8"/>
  <c r="BA15" i="8"/>
  <c r="BA7" i="8"/>
  <c r="D22" i="8"/>
  <c r="AS26" i="8"/>
  <c r="V22" i="8"/>
  <c r="G22" i="8"/>
  <c r="BD17" i="8"/>
  <c r="N22" i="8"/>
  <c r="Z22" i="8"/>
  <c r="BB7" i="8"/>
  <c r="AG22" i="8"/>
  <c r="AV26" i="8"/>
  <c r="BA5" i="8"/>
  <c r="BA9" i="8"/>
  <c r="BB9" i="8"/>
  <c r="Y22" i="8"/>
  <c r="AX26" i="8"/>
  <c r="U22" i="8"/>
  <c r="BA11" i="8"/>
  <c r="BB15" i="8"/>
  <c r="H22" i="8"/>
  <c r="BB16" i="8"/>
  <c r="BB8" i="8"/>
  <c r="BD16" i="8"/>
  <c r="BD18" i="8"/>
  <c r="BD12" i="8"/>
  <c r="BE18" i="8"/>
  <c r="BD8" i="8"/>
  <c r="BE6" i="8"/>
  <c r="AJ22" i="8"/>
  <c r="F26" i="8"/>
  <c r="H26" i="8"/>
  <c r="BA16" i="8"/>
  <c r="BB18" i="8"/>
  <c r="BD10" i="8"/>
  <c r="O22" i="8"/>
  <c r="BA14" i="8"/>
  <c r="BA17" i="8"/>
  <c r="BA19" i="8"/>
  <c r="S22" i="8"/>
  <c r="M26" i="8"/>
  <c r="BD4" i="8"/>
  <c r="BE4" i="8"/>
  <c r="AC26" i="8"/>
  <c r="K20" i="8"/>
  <c r="K22" i="8" s="1"/>
  <c r="BA18" i="8"/>
  <c r="BE15" i="8"/>
  <c r="BA6" i="8"/>
  <c r="BA13" i="8"/>
  <c r="BB13" i="8"/>
  <c r="BB17" i="8"/>
  <c r="BB19" i="8"/>
  <c r="O26" i="8"/>
  <c r="AC22" i="8"/>
  <c r="BA10" i="8"/>
  <c r="BE16" i="8"/>
  <c r="T29" i="8"/>
  <c r="BA4" i="8"/>
  <c r="BD7" i="8"/>
  <c r="BD9" i="8"/>
  <c r="BD11" i="8"/>
  <c r="AE21" i="6"/>
  <c r="AE25" i="6" s="1"/>
  <c r="L22" i="8" l="1"/>
  <c r="J26" i="8"/>
  <c r="L26" i="8"/>
  <c r="BF20" i="8"/>
  <c r="AZ22" i="8"/>
  <c r="BC29" i="8"/>
  <c r="BG22" i="8"/>
  <c r="BC26" i="8"/>
  <c r="BE26" i="8"/>
  <c r="BD22" i="8"/>
  <c r="BE22" i="8"/>
  <c r="BA20" i="8"/>
  <c r="AV20" i="7"/>
  <c r="AV19" i="7"/>
  <c r="AV18" i="7"/>
  <c r="AV17" i="7"/>
  <c r="AV16" i="7"/>
  <c r="AV15" i="7"/>
  <c r="AV14" i="7"/>
  <c r="AV13" i="7"/>
  <c r="AV11" i="7"/>
  <c r="AV10" i="7"/>
  <c r="AV9" i="7"/>
  <c r="AV8" i="7"/>
  <c r="AV7" i="7"/>
  <c r="AV6" i="7"/>
  <c r="AV5" i="7"/>
  <c r="AV4" i="7"/>
  <c r="AV24" i="7"/>
  <c r="BF22" i="8" l="1"/>
  <c r="BB22" i="8"/>
  <c r="BA22" i="8"/>
  <c r="AZ26" i="8"/>
  <c r="BB26" i="8"/>
  <c r="AV22" i="7"/>
  <c r="AZ22" i="7" s="1"/>
  <c r="AZ24" i="7"/>
  <c r="AZ20" i="7"/>
  <c r="AZ19" i="7"/>
  <c r="AZ18" i="7"/>
  <c r="AZ17" i="7"/>
  <c r="AZ16" i="7"/>
  <c r="AZ15" i="7"/>
  <c r="AZ14" i="7"/>
  <c r="AZ13" i="7"/>
  <c r="AZ10" i="7"/>
  <c r="AZ9" i="7"/>
  <c r="AZ8" i="7"/>
  <c r="AZ7" i="7"/>
  <c r="AZ6" i="7"/>
  <c r="AZ5" i="7"/>
  <c r="AS24" i="7"/>
  <c r="AY24" i="7" s="1"/>
  <c r="AR20" i="7"/>
  <c r="AS19" i="7"/>
  <c r="AY19" i="7" s="1"/>
  <c r="AR19" i="7"/>
  <c r="AS18" i="7"/>
  <c r="AY18" i="7" s="1"/>
  <c r="AR18" i="7"/>
  <c r="AS17" i="7"/>
  <c r="AY17" i="7" s="1"/>
  <c r="AR17" i="7"/>
  <c r="AS16" i="7"/>
  <c r="AY16" i="7" s="1"/>
  <c r="AR16" i="7"/>
  <c r="AS15" i="7"/>
  <c r="AY15" i="7" s="1"/>
  <c r="AR15" i="7"/>
  <c r="AS14" i="7"/>
  <c r="AY14" i="7" s="1"/>
  <c r="AR14" i="7"/>
  <c r="AS13" i="7"/>
  <c r="AY13" i="7" s="1"/>
  <c r="AR13" i="7"/>
  <c r="AS11" i="7"/>
  <c r="AY11" i="7" s="1"/>
  <c r="AR11" i="7"/>
  <c r="AS10" i="7"/>
  <c r="AY10" i="7" s="1"/>
  <c r="AR10" i="7"/>
  <c r="AS9" i="7"/>
  <c r="AY9" i="7" s="1"/>
  <c r="AR9" i="7"/>
  <c r="AS8" i="7"/>
  <c r="AY8" i="7" s="1"/>
  <c r="AR8" i="7"/>
  <c r="AS7" i="7"/>
  <c r="AY7" i="7" s="1"/>
  <c r="AR7" i="7"/>
  <c r="AS6" i="7"/>
  <c r="AY6" i="7" s="1"/>
  <c r="AR6" i="7"/>
  <c r="AS5" i="7"/>
  <c r="AY5" i="7" s="1"/>
  <c r="AR5" i="7"/>
  <c r="AZ4" i="7"/>
  <c r="AR4" i="7"/>
  <c r="AS4" i="7"/>
  <c r="AY4" i="7" s="1"/>
  <c r="AO22" i="7" l="1"/>
  <c r="AO29" i="7" s="1"/>
  <c r="AN26" i="7"/>
  <c r="AK22" i="7"/>
  <c r="AP20" i="7"/>
  <c r="AM20" i="7"/>
  <c r="AQ19" i="7"/>
  <c r="AP19" i="7"/>
  <c r="AN19" i="7"/>
  <c r="AM19" i="7"/>
  <c r="AQ18" i="7"/>
  <c r="AP18" i="7"/>
  <c r="AN18" i="7"/>
  <c r="AM18" i="7"/>
  <c r="AQ17" i="7"/>
  <c r="AP17" i="7"/>
  <c r="AN17" i="7"/>
  <c r="AM17" i="7"/>
  <c r="AP16" i="7"/>
  <c r="AM16" i="7"/>
  <c r="AQ15" i="7"/>
  <c r="AP15" i="7"/>
  <c r="AN15" i="7"/>
  <c r="AM15" i="7"/>
  <c r="AP14" i="7"/>
  <c r="AM14" i="7"/>
  <c r="AQ13" i="7"/>
  <c r="AP13" i="7"/>
  <c r="AN13" i="7"/>
  <c r="AM13" i="7"/>
  <c r="AQ11" i="7"/>
  <c r="AP11" i="7"/>
  <c r="AN11" i="7"/>
  <c r="AM11" i="7"/>
  <c r="AQ10" i="7"/>
  <c r="AP10" i="7"/>
  <c r="AN10" i="7"/>
  <c r="AM10" i="7"/>
  <c r="AQ9" i="7"/>
  <c r="AP9" i="7"/>
  <c r="AN9" i="7"/>
  <c r="AM9" i="7"/>
  <c r="AQ8" i="7"/>
  <c r="AP8" i="7"/>
  <c r="AN8" i="7"/>
  <c r="AM8" i="7"/>
  <c r="AQ7" i="7"/>
  <c r="AP7" i="7"/>
  <c r="AN7" i="7"/>
  <c r="AM7" i="7"/>
  <c r="AQ6" i="7"/>
  <c r="AP6" i="7"/>
  <c r="AN6" i="7"/>
  <c r="AM6" i="7"/>
  <c r="AP5" i="7"/>
  <c r="AM5" i="7"/>
  <c r="AQ4" i="7"/>
  <c r="AP4" i="7"/>
  <c r="AN4" i="7"/>
  <c r="AM4" i="7"/>
  <c r="AM22" i="7" l="1"/>
  <c r="AN22" i="7"/>
  <c r="AP22" i="7"/>
  <c r="AL26" i="7"/>
  <c r="AQ22" i="7"/>
  <c r="AO26" i="7"/>
  <c r="AQ26" i="7"/>
  <c r="AH22" i="7" l="1"/>
  <c r="AH29" i="7" s="1"/>
  <c r="AE22" i="7"/>
  <c r="AD22" i="7"/>
  <c r="AA22" i="7"/>
  <c r="AA29" i="7" s="1"/>
  <c r="X22" i="7"/>
  <c r="Z26" i="7" s="1"/>
  <c r="W22" i="7"/>
  <c r="T22" i="7"/>
  <c r="T29" i="7" s="1"/>
  <c r="Q22" i="7"/>
  <c r="Q26" i="7" s="1"/>
  <c r="P22" i="7"/>
  <c r="M22" i="7"/>
  <c r="O26" i="7" s="1"/>
  <c r="I22" i="7"/>
  <c r="F22" i="7"/>
  <c r="C22" i="7"/>
  <c r="E26" i="7" s="1"/>
  <c r="B22" i="7"/>
  <c r="AI20" i="7"/>
  <c r="AF20" i="7"/>
  <c r="AB20" i="7"/>
  <c r="Y20" i="7"/>
  <c r="U20" i="7"/>
  <c r="R20" i="7"/>
  <c r="N20" i="7"/>
  <c r="J20" i="7"/>
  <c r="G20" i="7"/>
  <c r="D20" i="7"/>
  <c r="AW19" i="7"/>
  <c r="AJ19" i="7"/>
  <c r="AI19" i="7"/>
  <c r="AG19" i="7"/>
  <c r="AF19" i="7"/>
  <c r="AC19" i="7"/>
  <c r="AB19" i="7"/>
  <c r="Z19" i="7"/>
  <c r="Y19" i="7"/>
  <c r="V19" i="7"/>
  <c r="U19" i="7"/>
  <c r="S19" i="7"/>
  <c r="R19" i="7"/>
  <c r="O19" i="7"/>
  <c r="N19" i="7"/>
  <c r="L19" i="7"/>
  <c r="K19" i="7"/>
  <c r="H19" i="7"/>
  <c r="G19" i="7"/>
  <c r="E19" i="7"/>
  <c r="D19" i="7"/>
  <c r="AU18" i="7"/>
  <c r="AJ18" i="7"/>
  <c r="AI18" i="7"/>
  <c r="AG18" i="7"/>
  <c r="AF18" i="7"/>
  <c r="AC18" i="7"/>
  <c r="AB18" i="7"/>
  <c r="Z18" i="7"/>
  <c r="Y18" i="7"/>
  <c r="V18" i="7"/>
  <c r="U18" i="7"/>
  <c r="S18" i="7"/>
  <c r="R18" i="7"/>
  <c r="O18" i="7"/>
  <c r="N18" i="7"/>
  <c r="L18" i="7"/>
  <c r="K18" i="7"/>
  <c r="H18" i="7"/>
  <c r="G18" i="7"/>
  <c r="E18" i="7"/>
  <c r="D18" i="7"/>
  <c r="AJ17" i="7"/>
  <c r="AI17" i="7"/>
  <c r="AG17" i="7"/>
  <c r="AF17" i="7"/>
  <c r="AC17" i="7"/>
  <c r="AB17" i="7"/>
  <c r="Z17" i="7"/>
  <c r="Y17" i="7"/>
  <c r="V17" i="7"/>
  <c r="U17" i="7"/>
  <c r="S17" i="7"/>
  <c r="R17" i="7"/>
  <c r="O17" i="7"/>
  <c r="N17" i="7"/>
  <c r="L17" i="7"/>
  <c r="K17" i="7"/>
  <c r="H17" i="7"/>
  <c r="G17" i="7"/>
  <c r="E17" i="7"/>
  <c r="D17" i="7"/>
  <c r="AI16" i="7"/>
  <c r="AF16" i="7"/>
  <c r="AB16" i="7"/>
  <c r="Y16" i="7"/>
  <c r="U16" i="7"/>
  <c r="R16" i="7"/>
  <c r="O16" i="7"/>
  <c r="N16" i="7"/>
  <c r="L16" i="7"/>
  <c r="K16" i="7"/>
  <c r="H16" i="7"/>
  <c r="G16" i="7"/>
  <c r="E16" i="7"/>
  <c r="D16" i="7"/>
  <c r="AW15" i="7"/>
  <c r="AJ15" i="7"/>
  <c r="AI15" i="7"/>
  <c r="AG15" i="7"/>
  <c r="AF15" i="7"/>
  <c r="AC15" i="7"/>
  <c r="AB15" i="7"/>
  <c r="Z15" i="7"/>
  <c r="Y15" i="7"/>
  <c r="V15" i="7"/>
  <c r="U15" i="7"/>
  <c r="S15" i="7"/>
  <c r="R15" i="7"/>
  <c r="O15" i="7"/>
  <c r="N15" i="7"/>
  <c r="L15" i="7"/>
  <c r="K15" i="7"/>
  <c r="H15" i="7"/>
  <c r="G15" i="7"/>
  <c r="E15" i="7"/>
  <c r="D15" i="7"/>
  <c r="AI14" i="7"/>
  <c r="AF14" i="7"/>
  <c r="AB14" i="7"/>
  <c r="Y14" i="7"/>
  <c r="U14" i="7"/>
  <c r="R14" i="7"/>
  <c r="N14" i="7"/>
  <c r="K14" i="7"/>
  <c r="G14" i="7"/>
  <c r="D14" i="7"/>
  <c r="AJ13" i="7"/>
  <c r="AI13" i="7"/>
  <c r="AG13" i="7"/>
  <c r="AF13" i="7"/>
  <c r="AC13" i="7"/>
  <c r="AB13" i="7"/>
  <c r="Z13" i="7"/>
  <c r="Y13" i="7"/>
  <c r="V13" i="7"/>
  <c r="U13" i="7"/>
  <c r="S13" i="7"/>
  <c r="R13" i="7"/>
  <c r="O13" i="7"/>
  <c r="N13" i="7"/>
  <c r="L13" i="7"/>
  <c r="K13" i="7"/>
  <c r="H13" i="7"/>
  <c r="G13" i="7"/>
  <c r="E13" i="7"/>
  <c r="D13" i="7"/>
  <c r="AZ11" i="7"/>
  <c r="AJ11" i="7"/>
  <c r="AI11" i="7"/>
  <c r="AG11" i="7"/>
  <c r="AF11" i="7"/>
  <c r="AC11" i="7"/>
  <c r="AB11" i="7"/>
  <c r="Z11" i="7"/>
  <c r="Y11" i="7"/>
  <c r="V11" i="7"/>
  <c r="U11" i="7"/>
  <c r="S11" i="7"/>
  <c r="R11" i="7"/>
  <c r="O11" i="7"/>
  <c r="N11" i="7"/>
  <c r="L11" i="7"/>
  <c r="K11" i="7"/>
  <c r="H11" i="7"/>
  <c r="G11" i="7"/>
  <c r="E11" i="7"/>
  <c r="D11" i="7"/>
  <c r="AW10" i="7"/>
  <c r="AJ10" i="7"/>
  <c r="AI10" i="7"/>
  <c r="AG10" i="7"/>
  <c r="AF10" i="7"/>
  <c r="AC10" i="7"/>
  <c r="AB10" i="7"/>
  <c r="Z10" i="7"/>
  <c r="Y10" i="7"/>
  <c r="V10" i="7"/>
  <c r="U10" i="7"/>
  <c r="S10" i="7"/>
  <c r="R10" i="7"/>
  <c r="O10" i="7"/>
  <c r="N10" i="7"/>
  <c r="L10" i="7"/>
  <c r="K10" i="7"/>
  <c r="H10" i="7"/>
  <c r="G10" i="7"/>
  <c r="E10" i="7"/>
  <c r="D10" i="7"/>
  <c r="AJ9" i="7"/>
  <c r="AI9" i="7"/>
  <c r="AG9" i="7"/>
  <c r="AF9" i="7"/>
  <c r="AC9" i="7"/>
  <c r="AB9" i="7"/>
  <c r="Z9" i="7"/>
  <c r="Y9" i="7"/>
  <c r="V9" i="7"/>
  <c r="U9" i="7"/>
  <c r="S9" i="7"/>
  <c r="R9" i="7"/>
  <c r="O9" i="7"/>
  <c r="N9" i="7"/>
  <c r="L9" i="7"/>
  <c r="K9" i="7"/>
  <c r="H9" i="7"/>
  <c r="G9" i="7"/>
  <c r="E9" i="7"/>
  <c r="D9" i="7"/>
  <c r="AJ8" i="7"/>
  <c r="AI8" i="7"/>
  <c r="AG8" i="7"/>
  <c r="AF8" i="7"/>
  <c r="AC8" i="7"/>
  <c r="AB8" i="7"/>
  <c r="Z8" i="7"/>
  <c r="Y8" i="7"/>
  <c r="V8" i="7"/>
  <c r="U8" i="7"/>
  <c r="S8" i="7"/>
  <c r="R8" i="7"/>
  <c r="O8" i="7"/>
  <c r="N8" i="7"/>
  <c r="L8" i="7"/>
  <c r="K8" i="7"/>
  <c r="H8" i="7"/>
  <c r="G8" i="7"/>
  <c r="E8" i="7"/>
  <c r="D8" i="7"/>
  <c r="AJ7" i="7"/>
  <c r="AI7" i="7"/>
  <c r="AG7" i="7"/>
  <c r="AF7" i="7"/>
  <c r="AC7" i="7"/>
  <c r="AB7" i="7"/>
  <c r="Z7" i="7"/>
  <c r="Y7" i="7"/>
  <c r="V7" i="7"/>
  <c r="U7" i="7"/>
  <c r="S7" i="7"/>
  <c r="R7" i="7"/>
  <c r="O7" i="7"/>
  <c r="N7" i="7"/>
  <c r="L7" i="7"/>
  <c r="K7" i="7"/>
  <c r="H7" i="7"/>
  <c r="G7" i="7"/>
  <c r="E7" i="7"/>
  <c r="D7" i="7"/>
  <c r="AX6" i="7"/>
  <c r="AJ6" i="7"/>
  <c r="AI6" i="7"/>
  <c r="AG6" i="7"/>
  <c r="AF6" i="7"/>
  <c r="AC6" i="7"/>
  <c r="AB6" i="7"/>
  <c r="Z6" i="7"/>
  <c r="Y6" i="7"/>
  <c r="V6" i="7"/>
  <c r="U6" i="7"/>
  <c r="S6" i="7"/>
  <c r="R6" i="7"/>
  <c r="O6" i="7"/>
  <c r="N6" i="7"/>
  <c r="L6" i="7"/>
  <c r="K6" i="7"/>
  <c r="H6" i="7"/>
  <c r="G6" i="7"/>
  <c r="E6" i="7"/>
  <c r="D6" i="7"/>
  <c r="AI5" i="7"/>
  <c r="AF5" i="7"/>
  <c r="AB5" i="7"/>
  <c r="Y5" i="7"/>
  <c r="U5" i="7"/>
  <c r="R5" i="7"/>
  <c r="N5" i="7"/>
  <c r="K5" i="7"/>
  <c r="G5" i="7"/>
  <c r="D5" i="7"/>
  <c r="AJ4" i="7"/>
  <c r="AI4" i="7"/>
  <c r="AG4" i="7"/>
  <c r="AF4" i="7"/>
  <c r="AC4" i="7"/>
  <c r="AB4" i="7"/>
  <c r="Z4" i="7"/>
  <c r="Y4" i="7"/>
  <c r="V4" i="7"/>
  <c r="U4" i="7"/>
  <c r="S4" i="7"/>
  <c r="R4" i="7"/>
  <c r="O4" i="7"/>
  <c r="N4" i="7"/>
  <c r="L4" i="7"/>
  <c r="K4" i="7"/>
  <c r="H4" i="7"/>
  <c r="G4" i="7"/>
  <c r="E4" i="7"/>
  <c r="D4" i="7"/>
  <c r="U22" i="7" l="1"/>
  <c r="S26" i="7"/>
  <c r="T26" i="7"/>
  <c r="N22" i="7"/>
  <c r="J22" i="7"/>
  <c r="AS20" i="7"/>
  <c r="V26" i="7"/>
  <c r="X26" i="7"/>
  <c r="AG22" i="7"/>
  <c r="AA26" i="7"/>
  <c r="AC26" i="7"/>
  <c r="AJ22" i="7"/>
  <c r="AE26" i="7"/>
  <c r="AG26" i="7"/>
  <c r="AR22" i="7"/>
  <c r="AT8" i="7"/>
  <c r="AX18" i="7"/>
  <c r="AI22" i="7"/>
  <c r="AH26" i="7"/>
  <c r="AW20" i="7"/>
  <c r="E22" i="7"/>
  <c r="H22" i="7"/>
  <c r="O22" i="7"/>
  <c r="AU9" i="7"/>
  <c r="S22" i="7"/>
  <c r="AJ26" i="7"/>
  <c r="AU11" i="7"/>
  <c r="AT11" i="7"/>
  <c r="D22" i="7"/>
  <c r="AW11" i="7"/>
  <c r="Z22" i="7"/>
  <c r="AB22" i="7"/>
  <c r="AT14" i="7"/>
  <c r="AT18" i="7"/>
  <c r="AT15" i="7"/>
  <c r="AF22" i="7"/>
  <c r="AU8" i="7"/>
  <c r="AT19" i="7"/>
  <c r="R22" i="7"/>
  <c r="Y22" i="7"/>
  <c r="AW5" i="7"/>
  <c r="G22" i="7"/>
  <c r="AT9" i="7"/>
  <c r="AW4" i="7"/>
  <c r="AT16" i="7"/>
  <c r="AU19" i="7"/>
  <c r="V22" i="7"/>
  <c r="AX4" i="7"/>
  <c r="AW9" i="7"/>
  <c r="AX13" i="7"/>
  <c r="AU16" i="7"/>
  <c r="AU4" i="7"/>
  <c r="AU6" i="7"/>
  <c r="AX11" i="7"/>
  <c r="AX8" i="7"/>
  <c r="AT4" i="7"/>
  <c r="AT13" i="7"/>
  <c r="AU13" i="7"/>
  <c r="AW18" i="7"/>
  <c r="AU15" i="7"/>
  <c r="AW16" i="7"/>
  <c r="AX16" i="7"/>
  <c r="AT7" i="7"/>
  <c r="AU10" i="7"/>
  <c r="C26" i="7"/>
  <c r="AU7" i="7"/>
  <c r="AT17" i="7"/>
  <c r="AC22" i="7"/>
  <c r="F26" i="7"/>
  <c r="F29" i="7"/>
  <c r="AT5" i="7"/>
  <c r="AX9" i="7"/>
  <c r="AW7" i="7"/>
  <c r="AX10" i="7"/>
  <c r="K20" i="7"/>
  <c r="K22" i="7" s="1"/>
  <c r="H26" i="7"/>
  <c r="M29" i="7"/>
  <c r="AW8" i="7"/>
  <c r="AW14" i="7"/>
  <c r="AW13" i="7"/>
  <c r="AT10" i="7"/>
  <c r="AX7" i="7"/>
  <c r="AW17" i="7"/>
  <c r="AW6" i="7"/>
  <c r="AX15" i="7"/>
  <c r="AX19" i="7"/>
  <c r="AU17" i="7"/>
  <c r="AX17" i="7"/>
  <c r="M26" i="7"/>
  <c r="AT6" i="7"/>
  <c r="AG4" i="6"/>
  <c r="AO5" i="6"/>
  <c r="AS5" i="6" s="1"/>
  <c r="AO6" i="6"/>
  <c r="AS6" i="6" s="1"/>
  <c r="AO7" i="6"/>
  <c r="AS7" i="6" s="1"/>
  <c r="AO8" i="6"/>
  <c r="AS8" i="6" s="1"/>
  <c r="AO9" i="6"/>
  <c r="AS9" i="6" s="1"/>
  <c r="AO10" i="6"/>
  <c r="AS10" i="6" s="1"/>
  <c r="AO11" i="6"/>
  <c r="AS11" i="6" s="1"/>
  <c r="AO12" i="6"/>
  <c r="AS12" i="6" s="1"/>
  <c r="AO13" i="6"/>
  <c r="AS13" i="6" s="1"/>
  <c r="AO14" i="6"/>
  <c r="AS14" i="6" s="1"/>
  <c r="AO15" i="6"/>
  <c r="AS15" i="6" s="1"/>
  <c r="AO16" i="6"/>
  <c r="AS16" i="6" s="1"/>
  <c r="AO17" i="6"/>
  <c r="AS17" i="6" s="1"/>
  <c r="AO18" i="6"/>
  <c r="AS18" i="6" s="1"/>
  <c r="AO19" i="6"/>
  <c r="AS19" i="6" s="1"/>
  <c r="AO23" i="6"/>
  <c r="AS23" i="6" s="1"/>
  <c r="AL23" i="6"/>
  <c r="AR23" i="6" s="1"/>
  <c r="AK19" i="6"/>
  <c r="AL18" i="6"/>
  <c r="AR18" i="6" s="1"/>
  <c r="AK18" i="6"/>
  <c r="AL17" i="6"/>
  <c r="AR17" i="6" s="1"/>
  <c r="AK17" i="6"/>
  <c r="AL16" i="6"/>
  <c r="AR16" i="6" s="1"/>
  <c r="AK16" i="6"/>
  <c r="AL15" i="6"/>
  <c r="AR15" i="6" s="1"/>
  <c r="AK15" i="6"/>
  <c r="AL14" i="6"/>
  <c r="AR14" i="6" s="1"/>
  <c r="AK14" i="6"/>
  <c r="AL13" i="6"/>
  <c r="AR13" i="6" s="1"/>
  <c r="AK13" i="6"/>
  <c r="AL12" i="6"/>
  <c r="AR12" i="6" s="1"/>
  <c r="AK12" i="6"/>
  <c r="AL11" i="6"/>
  <c r="AR11" i="6" s="1"/>
  <c r="AK11" i="6"/>
  <c r="AL10" i="6"/>
  <c r="AR10" i="6" s="1"/>
  <c r="AK10" i="6"/>
  <c r="AL9" i="6"/>
  <c r="AR9" i="6" s="1"/>
  <c r="AK9" i="6"/>
  <c r="AL8" i="6"/>
  <c r="AR8" i="6" s="1"/>
  <c r="AK8" i="6"/>
  <c r="AL7" i="6"/>
  <c r="AR7" i="6" s="1"/>
  <c r="AK7" i="6"/>
  <c r="AL6" i="6"/>
  <c r="AR6" i="6" s="1"/>
  <c r="AK6" i="6"/>
  <c r="AL5" i="6"/>
  <c r="AR5" i="6" s="1"/>
  <c r="AK5" i="6"/>
  <c r="L26" i="7" l="1"/>
  <c r="L22" i="7"/>
  <c r="AY20" i="7"/>
  <c r="AS22" i="7"/>
  <c r="AU22" i="7" s="1"/>
  <c r="AT20" i="7"/>
  <c r="J26" i="7"/>
  <c r="AV29" i="7"/>
  <c r="AX22" i="7"/>
  <c r="AX26" i="7"/>
  <c r="AV26" i="7"/>
  <c r="AW22" i="7"/>
  <c r="AO4" i="6"/>
  <c r="AS4" i="6" s="1"/>
  <c r="AK4" i="6"/>
  <c r="AL4" i="6"/>
  <c r="AR4" i="6" s="1"/>
  <c r="AY22" i="7" l="1"/>
  <c r="AU26" i="7"/>
  <c r="AT22" i="7"/>
  <c r="AS26" i="7"/>
  <c r="AH21" i="6"/>
  <c r="AH28" i="6" s="1"/>
  <c r="AG25" i="6"/>
  <c r="AD21" i="6"/>
  <c r="AI19" i="6"/>
  <c r="AF19" i="6"/>
  <c r="AJ18" i="6"/>
  <c r="AI18" i="6"/>
  <c r="AG18" i="6"/>
  <c r="AF18" i="6"/>
  <c r="AJ17" i="6"/>
  <c r="AI17" i="6"/>
  <c r="AG17" i="6"/>
  <c r="AF17" i="6"/>
  <c r="AJ16" i="6"/>
  <c r="AI16" i="6"/>
  <c r="AG16" i="6"/>
  <c r="AF16" i="6"/>
  <c r="AI15" i="6"/>
  <c r="AF15" i="6"/>
  <c r="AJ14" i="6"/>
  <c r="AI14" i="6"/>
  <c r="AG14" i="6"/>
  <c r="AF14" i="6"/>
  <c r="AI13" i="6"/>
  <c r="AF13" i="6"/>
  <c r="AJ12" i="6"/>
  <c r="AI12" i="6"/>
  <c r="AG12" i="6"/>
  <c r="AF12" i="6"/>
  <c r="AJ11" i="6"/>
  <c r="AI11" i="6"/>
  <c r="AG11" i="6"/>
  <c r="AF11" i="6"/>
  <c r="AJ10" i="6"/>
  <c r="AI10" i="6"/>
  <c r="AG10" i="6"/>
  <c r="AF10" i="6"/>
  <c r="AJ9" i="6"/>
  <c r="AI9" i="6"/>
  <c r="AG9" i="6"/>
  <c r="AF9" i="6"/>
  <c r="AJ8" i="6"/>
  <c r="AI8" i="6"/>
  <c r="AG8" i="6"/>
  <c r="AF8" i="6"/>
  <c r="AJ7" i="6"/>
  <c r="AI7" i="6"/>
  <c r="AG7" i="6"/>
  <c r="AF7" i="6"/>
  <c r="AJ6" i="6"/>
  <c r="AI6" i="6"/>
  <c r="AG6" i="6"/>
  <c r="AF6" i="6"/>
  <c r="AI5" i="6"/>
  <c r="AF5" i="6"/>
  <c r="AJ4" i="6"/>
  <c r="AI4" i="6"/>
  <c r="AF4" i="6"/>
  <c r="AA21" i="6"/>
  <c r="AA28" i="6" s="1"/>
  <c r="X21" i="6"/>
  <c r="Z25" i="6" s="1"/>
  <c r="W21" i="6"/>
  <c r="T21" i="6"/>
  <c r="T28" i="6" s="1"/>
  <c r="Q21" i="6"/>
  <c r="P21" i="6"/>
  <c r="M21" i="6"/>
  <c r="M28" i="6" s="1"/>
  <c r="I21" i="6"/>
  <c r="F21" i="6"/>
  <c r="F25" i="6" s="1"/>
  <c r="C21" i="6"/>
  <c r="E25" i="6" s="1"/>
  <c r="B21" i="6"/>
  <c r="AB19" i="6"/>
  <c r="Y19" i="6"/>
  <c r="U19" i="6"/>
  <c r="R19" i="6"/>
  <c r="N19" i="6"/>
  <c r="J19" i="6"/>
  <c r="G19" i="6"/>
  <c r="D19" i="6"/>
  <c r="AC18" i="6"/>
  <c r="AB18" i="6"/>
  <c r="Z18" i="6"/>
  <c r="Y18" i="6"/>
  <c r="V18" i="6"/>
  <c r="U18" i="6"/>
  <c r="S18" i="6"/>
  <c r="R18" i="6"/>
  <c r="O18" i="6"/>
  <c r="N18" i="6"/>
  <c r="L18" i="6"/>
  <c r="K18" i="6"/>
  <c r="H18" i="6"/>
  <c r="G18" i="6"/>
  <c r="E18" i="6"/>
  <c r="D18" i="6"/>
  <c r="AN17" i="6"/>
  <c r="AC17" i="6"/>
  <c r="AB17" i="6"/>
  <c r="Z17" i="6"/>
  <c r="Y17" i="6"/>
  <c r="V17" i="6"/>
  <c r="U17" i="6"/>
  <c r="S17" i="6"/>
  <c r="R17" i="6"/>
  <c r="O17" i="6"/>
  <c r="N17" i="6"/>
  <c r="L17" i="6"/>
  <c r="K17" i="6"/>
  <c r="H17" i="6"/>
  <c r="G17" i="6"/>
  <c r="E17" i="6"/>
  <c r="D17" i="6"/>
  <c r="AQ16" i="6"/>
  <c r="AC16" i="6"/>
  <c r="AB16" i="6"/>
  <c r="Z16" i="6"/>
  <c r="Y16" i="6"/>
  <c r="V16" i="6"/>
  <c r="U16" i="6"/>
  <c r="S16" i="6"/>
  <c r="R16" i="6"/>
  <c r="O16" i="6"/>
  <c r="N16" i="6"/>
  <c r="L16" i="6"/>
  <c r="K16" i="6"/>
  <c r="H16" i="6"/>
  <c r="G16" i="6"/>
  <c r="E16" i="6"/>
  <c r="D16" i="6"/>
  <c r="AQ15" i="6"/>
  <c r="AB15" i="6"/>
  <c r="Y15" i="6"/>
  <c r="U15" i="6"/>
  <c r="R15" i="6"/>
  <c r="O15" i="6"/>
  <c r="N15" i="6"/>
  <c r="L15" i="6"/>
  <c r="K15" i="6"/>
  <c r="H15" i="6"/>
  <c r="G15" i="6"/>
  <c r="E15" i="6"/>
  <c r="D15" i="6"/>
  <c r="AC14" i="6"/>
  <c r="AB14" i="6"/>
  <c r="Z14" i="6"/>
  <c r="Y14" i="6"/>
  <c r="V14" i="6"/>
  <c r="U14" i="6"/>
  <c r="S14" i="6"/>
  <c r="R14" i="6"/>
  <c r="O14" i="6"/>
  <c r="N14" i="6"/>
  <c r="L14" i="6"/>
  <c r="K14" i="6"/>
  <c r="H14" i="6"/>
  <c r="G14" i="6"/>
  <c r="E14" i="6"/>
  <c r="D14" i="6"/>
  <c r="AM13" i="6"/>
  <c r="AB13" i="6"/>
  <c r="Y13" i="6"/>
  <c r="U13" i="6"/>
  <c r="R13" i="6"/>
  <c r="N13" i="6"/>
  <c r="K13" i="6"/>
  <c r="G13" i="6"/>
  <c r="D13" i="6"/>
  <c r="AQ12" i="6"/>
  <c r="AC12" i="6"/>
  <c r="AB12" i="6"/>
  <c r="Z12" i="6"/>
  <c r="Y12" i="6"/>
  <c r="V12" i="6"/>
  <c r="U12" i="6"/>
  <c r="S12" i="6"/>
  <c r="R12" i="6"/>
  <c r="O12" i="6"/>
  <c r="N12" i="6"/>
  <c r="L12" i="6"/>
  <c r="K12" i="6"/>
  <c r="H12" i="6"/>
  <c r="G12" i="6"/>
  <c r="E12" i="6"/>
  <c r="D12" i="6"/>
  <c r="AC11" i="6"/>
  <c r="AB11" i="6"/>
  <c r="Z11" i="6"/>
  <c r="Y11" i="6"/>
  <c r="V11" i="6"/>
  <c r="U11" i="6"/>
  <c r="S11" i="6"/>
  <c r="R11" i="6"/>
  <c r="O11" i="6"/>
  <c r="N11" i="6"/>
  <c r="L11" i="6"/>
  <c r="K11" i="6"/>
  <c r="H11" i="6"/>
  <c r="G11" i="6"/>
  <c r="E11" i="6"/>
  <c r="D11" i="6"/>
  <c r="AC10" i="6"/>
  <c r="AB10" i="6"/>
  <c r="Z10" i="6"/>
  <c r="Y10" i="6"/>
  <c r="V10" i="6"/>
  <c r="U10" i="6"/>
  <c r="S10" i="6"/>
  <c r="R10" i="6"/>
  <c r="O10" i="6"/>
  <c r="N10" i="6"/>
  <c r="L10" i="6"/>
  <c r="K10" i="6"/>
  <c r="H10" i="6"/>
  <c r="G10" i="6"/>
  <c r="E10" i="6"/>
  <c r="D10" i="6"/>
  <c r="AC9" i="6"/>
  <c r="AB9" i="6"/>
  <c r="Z9" i="6"/>
  <c r="Y9" i="6"/>
  <c r="V9" i="6"/>
  <c r="U9" i="6"/>
  <c r="S9" i="6"/>
  <c r="R9" i="6"/>
  <c r="O9" i="6"/>
  <c r="N9" i="6"/>
  <c r="L9" i="6"/>
  <c r="K9" i="6"/>
  <c r="H9" i="6"/>
  <c r="G9" i="6"/>
  <c r="E9" i="6"/>
  <c r="D9" i="6"/>
  <c r="AC8" i="6"/>
  <c r="AB8" i="6"/>
  <c r="Z8" i="6"/>
  <c r="Y8" i="6"/>
  <c r="V8" i="6"/>
  <c r="U8" i="6"/>
  <c r="S8" i="6"/>
  <c r="R8" i="6"/>
  <c r="O8" i="6"/>
  <c r="N8" i="6"/>
  <c r="L8" i="6"/>
  <c r="K8" i="6"/>
  <c r="H8" i="6"/>
  <c r="G8" i="6"/>
  <c r="E8" i="6"/>
  <c r="D8" i="6"/>
  <c r="AM7" i="6"/>
  <c r="AC7" i="6"/>
  <c r="AB7" i="6"/>
  <c r="Z7" i="6"/>
  <c r="Y7" i="6"/>
  <c r="V7" i="6"/>
  <c r="U7" i="6"/>
  <c r="S7" i="6"/>
  <c r="R7" i="6"/>
  <c r="O7" i="6"/>
  <c r="N7" i="6"/>
  <c r="L7" i="6"/>
  <c r="K7" i="6"/>
  <c r="H7" i="6"/>
  <c r="G7" i="6"/>
  <c r="E7" i="6"/>
  <c r="D7" i="6"/>
  <c r="AQ6" i="6"/>
  <c r="AN6" i="6"/>
  <c r="AM6" i="6"/>
  <c r="AC6" i="6"/>
  <c r="AB6" i="6"/>
  <c r="Z6" i="6"/>
  <c r="Y6" i="6"/>
  <c r="V6" i="6"/>
  <c r="U6" i="6"/>
  <c r="S6" i="6"/>
  <c r="R6" i="6"/>
  <c r="O6" i="6"/>
  <c r="N6" i="6"/>
  <c r="L6" i="6"/>
  <c r="K6" i="6"/>
  <c r="H6" i="6"/>
  <c r="G6" i="6"/>
  <c r="E6" i="6"/>
  <c r="D6" i="6"/>
  <c r="AP5" i="6"/>
  <c r="AM5" i="6"/>
  <c r="AB5" i="6"/>
  <c r="Y5" i="6"/>
  <c r="U5" i="6"/>
  <c r="R5" i="6"/>
  <c r="N5" i="6"/>
  <c r="K5" i="6"/>
  <c r="G5" i="6"/>
  <c r="D5" i="6"/>
  <c r="AC4" i="6"/>
  <c r="AB4" i="6"/>
  <c r="Z4" i="6"/>
  <c r="Y4" i="6"/>
  <c r="V4" i="6"/>
  <c r="U4" i="6"/>
  <c r="S4" i="6"/>
  <c r="R4" i="6"/>
  <c r="O4" i="6"/>
  <c r="N4" i="6"/>
  <c r="L4" i="6"/>
  <c r="K4" i="6"/>
  <c r="H4" i="6"/>
  <c r="G4" i="6"/>
  <c r="E4" i="6"/>
  <c r="D4" i="6"/>
  <c r="Y21" i="6" l="1"/>
  <c r="J21" i="6"/>
  <c r="AL19" i="6"/>
  <c r="AI21" i="6"/>
  <c r="AF21" i="6"/>
  <c r="AN12" i="6"/>
  <c r="U21" i="6"/>
  <c r="AM18" i="6"/>
  <c r="AP17" i="6"/>
  <c r="N21" i="6"/>
  <c r="AB21" i="6"/>
  <c r="H25" i="6"/>
  <c r="AG21" i="6"/>
  <c r="S21" i="6"/>
  <c r="AQ17" i="6"/>
  <c r="AN8" i="6"/>
  <c r="Q25" i="6"/>
  <c r="AJ21" i="6"/>
  <c r="D21" i="6"/>
  <c r="G21" i="6"/>
  <c r="AP12" i="6"/>
  <c r="AN15" i="6"/>
  <c r="AQ10" i="6"/>
  <c r="M25" i="6"/>
  <c r="O25" i="6"/>
  <c r="S25" i="6"/>
  <c r="V21" i="6"/>
  <c r="AQ11" i="6"/>
  <c r="AP4" i="6"/>
  <c r="AQ9" i="6"/>
  <c r="AP19" i="6"/>
  <c r="T25" i="6"/>
  <c r="AN18" i="6"/>
  <c r="AK21" i="6"/>
  <c r="V25" i="6"/>
  <c r="AH25" i="6"/>
  <c r="AJ25" i="6"/>
  <c r="R21" i="6"/>
  <c r="AN7" i="6"/>
  <c r="E21" i="6"/>
  <c r="AC21" i="6"/>
  <c r="H21" i="6"/>
  <c r="AM9" i="6"/>
  <c r="AN9" i="6"/>
  <c r="AA25" i="6"/>
  <c r="AP6" i="6"/>
  <c r="Z21" i="6"/>
  <c r="AQ18" i="6"/>
  <c r="AM8" i="6"/>
  <c r="AQ7" i="6"/>
  <c r="AP8" i="6"/>
  <c r="X25" i="6"/>
  <c r="AN10" i="6"/>
  <c r="O21" i="6"/>
  <c r="AP10" i="6"/>
  <c r="AM11" i="6"/>
  <c r="AP13" i="6"/>
  <c r="AN14" i="6"/>
  <c r="AN4" i="6"/>
  <c r="AQ4" i="6"/>
  <c r="AM10" i="6"/>
  <c r="AN11" i="6"/>
  <c r="AP15" i="6"/>
  <c r="AM16" i="6"/>
  <c r="AP14" i="6"/>
  <c r="AN16" i="6"/>
  <c r="AP18" i="6"/>
  <c r="AM4" i="6"/>
  <c r="AQ8" i="6"/>
  <c r="AO21" i="6"/>
  <c r="AC25" i="6"/>
  <c r="AM14" i="6"/>
  <c r="AP11" i="6"/>
  <c r="AM12" i="6"/>
  <c r="AQ14" i="6"/>
  <c r="F28" i="6"/>
  <c r="AP7" i="6"/>
  <c r="K19" i="6"/>
  <c r="K21" i="6" s="1"/>
  <c r="AM15" i="6"/>
  <c r="AP16" i="6"/>
  <c r="AM17" i="6"/>
  <c r="AP9" i="6"/>
  <c r="C25" i="6"/>
  <c r="L21" i="6" l="1"/>
  <c r="L25" i="6"/>
  <c r="J25" i="6"/>
  <c r="AR19" i="6"/>
  <c r="AL21" i="6"/>
  <c r="AS21" i="6"/>
  <c r="AO28" i="6"/>
  <c r="AQ25" i="6"/>
  <c r="AO25" i="6"/>
  <c r="AQ21" i="6"/>
  <c r="AP21" i="6"/>
  <c r="AM19" i="6"/>
  <c r="AR21" i="6" l="1"/>
  <c r="AN25" i="6"/>
  <c r="AN21" i="6"/>
  <c r="AM21" i="6"/>
  <c r="AL25" i="6"/>
  <c r="X21" i="5"/>
  <c r="AA21" i="5"/>
  <c r="AE23" i="5" l="1"/>
  <c r="AH23" i="5"/>
  <c r="AE4" i="5"/>
  <c r="AD4" i="5"/>
  <c r="T21" i="5" l="1"/>
  <c r="T28" i="5" s="1"/>
  <c r="Q21" i="5"/>
  <c r="Q25" i="5" s="1"/>
  <c r="T25" i="5" l="1"/>
  <c r="AD19" i="5" l="1"/>
  <c r="AE18" i="5"/>
  <c r="AK18" i="5" s="1"/>
  <c r="AD18" i="5"/>
  <c r="AE17" i="5"/>
  <c r="AK17" i="5" s="1"/>
  <c r="AD17" i="5"/>
  <c r="AE16" i="5"/>
  <c r="AK16" i="5" s="1"/>
  <c r="AD16" i="5"/>
  <c r="AE15" i="5"/>
  <c r="AK15" i="5" s="1"/>
  <c r="AD15" i="5"/>
  <c r="AE14" i="5"/>
  <c r="AK14" i="5" s="1"/>
  <c r="AD14" i="5"/>
  <c r="AE13" i="5"/>
  <c r="AK13" i="5" s="1"/>
  <c r="AD13" i="5"/>
  <c r="AE12" i="5"/>
  <c r="AK12" i="5" s="1"/>
  <c r="AD12" i="5"/>
  <c r="AE11" i="5"/>
  <c r="AK11" i="5" s="1"/>
  <c r="AD11" i="5"/>
  <c r="AE10" i="5"/>
  <c r="AK10" i="5" s="1"/>
  <c r="AD10" i="5"/>
  <c r="AE9" i="5"/>
  <c r="AK9" i="5" s="1"/>
  <c r="AD9" i="5"/>
  <c r="AE8" i="5"/>
  <c r="AK8" i="5" s="1"/>
  <c r="AD8" i="5"/>
  <c r="AE7" i="5"/>
  <c r="AD7" i="5"/>
  <c r="AE6" i="5"/>
  <c r="AD6" i="5"/>
  <c r="AE5" i="5"/>
  <c r="AK5" i="5" s="1"/>
  <c r="AD5" i="5"/>
  <c r="AH19" i="5"/>
  <c r="AL19" i="5" s="1"/>
  <c r="AH18" i="5"/>
  <c r="AL18" i="5" s="1"/>
  <c r="AH17" i="5"/>
  <c r="AL17" i="5" s="1"/>
  <c r="AH16" i="5"/>
  <c r="AL16" i="5" s="1"/>
  <c r="AH15" i="5"/>
  <c r="AL15" i="5" s="1"/>
  <c r="AH14" i="5"/>
  <c r="AL14" i="5" s="1"/>
  <c r="AH13" i="5"/>
  <c r="AL13" i="5" s="1"/>
  <c r="AH12" i="5"/>
  <c r="AL12" i="5" s="1"/>
  <c r="AH11" i="5"/>
  <c r="AL11" i="5" s="1"/>
  <c r="AH10" i="5"/>
  <c r="AL10" i="5" s="1"/>
  <c r="AH9" i="5"/>
  <c r="AL9" i="5" s="1"/>
  <c r="AH8" i="5"/>
  <c r="AL8" i="5" s="1"/>
  <c r="AH7" i="5"/>
  <c r="AL7" i="5" s="1"/>
  <c r="AH6" i="5"/>
  <c r="AL6" i="5" s="1"/>
  <c r="AH5" i="5"/>
  <c r="AL5" i="5" s="1"/>
  <c r="AH4" i="5"/>
  <c r="AK4" i="5"/>
  <c r="AL23" i="5"/>
  <c r="AK23" i="5"/>
  <c r="Y5" i="5"/>
  <c r="AB5" i="5"/>
  <c r="Z25" i="5"/>
  <c r="W21" i="5"/>
  <c r="AB19" i="5"/>
  <c r="Y19" i="5"/>
  <c r="AC18" i="5"/>
  <c r="AB18" i="5"/>
  <c r="Z18" i="5"/>
  <c r="Y18" i="5"/>
  <c r="AC17" i="5"/>
  <c r="AB17" i="5"/>
  <c r="Z17" i="5"/>
  <c r="Y17" i="5"/>
  <c r="AC16" i="5"/>
  <c r="AB16" i="5"/>
  <c r="Z16" i="5"/>
  <c r="Y16" i="5"/>
  <c r="AB15" i="5"/>
  <c r="Y15" i="5"/>
  <c r="AC14" i="5"/>
  <c r="AB14" i="5"/>
  <c r="Z14" i="5"/>
  <c r="Y14" i="5"/>
  <c r="AB13" i="5"/>
  <c r="Y13" i="5"/>
  <c r="AC12" i="5"/>
  <c r="AB12" i="5"/>
  <c r="Z12" i="5"/>
  <c r="Y12" i="5"/>
  <c r="AC11" i="5"/>
  <c r="AB11" i="5"/>
  <c r="Z11" i="5"/>
  <c r="Y11" i="5"/>
  <c r="AC10" i="5"/>
  <c r="AB10" i="5"/>
  <c r="Z10" i="5"/>
  <c r="Y10" i="5"/>
  <c r="AC9" i="5"/>
  <c r="AB9" i="5"/>
  <c r="Z9" i="5"/>
  <c r="Y9" i="5"/>
  <c r="AC8" i="5"/>
  <c r="AB8" i="5"/>
  <c r="Z8" i="5"/>
  <c r="Y8" i="5"/>
  <c r="AC7" i="5"/>
  <c r="AB7" i="5"/>
  <c r="Z7" i="5"/>
  <c r="Y7" i="5"/>
  <c r="AC6" i="5"/>
  <c r="AB6" i="5"/>
  <c r="Z6" i="5"/>
  <c r="Y6" i="5"/>
  <c r="AC4" i="5"/>
  <c r="AB4" i="5"/>
  <c r="Z4" i="5"/>
  <c r="Y4" i="5"/>
  <c r="AD21" i="5" l="1"/>
  <c r="AB21" i="5"/>
  <c r="AH21" i="5"/>
  <c r="AH28" i="5" s="1"/>
  <c r="AK6" i="5"/>
  <c r="AA28" i="5"/>
  <c r="AC25" i="5"/>
  <c r="AC21" i="5"/>
  <c r="AL4" i="5"/>
  <c r="AK7" i="5"/>
  <c r="Y21" i="5"/>
  <c r="Z21" i="5"/>
  <c r="X25" i="5"/>
  <c r="AA25" i="5"/>
  <c r="AH25" i="5" l="1"/>
  <c r="V25" i="5"/>
  <c r="S25" i="5"/>
  <c r="P21" i="5"/>
  <c r="M21" i="5"/>
  <c r="M28" i="5" s="1"/>
  <c r="I21" i="5"/>
  <c r="F21" i="5"/>
  <c r="F28" i="5" s="1"/>
  <c r="C21" i="5"/>
  <c r="E25" i="5" s="1"/>
  <c r="B21" i="5"/>
  <c r="U19" i="5"/>
  <c r="R19" i="5"/>
  <c r="N19" i="5"/>
  <c r="J19" i="5"/>
  <c r="G19" i="5"/>
  <c r="D19" i="5"/>
  <c r="V18" i="5"/>
  <c r="U18" i="5"/>
  <c r="S18" i="5"/>
  <c r="R18" i="5"/>
  <c r="O18" i="5"/>
  <c r="N18" i="5"/>
  <c r="L18" i="5"/>
  <c r="K18" i="5"/>
  <c r="H18" i="5"/>
  <c r="G18" i="5"/>
  <c r="E18" i="5"/>
  <c r="D18" i="5"/>
  <c r="V17" i="5"/>
  <c r="U17" i="5"/>
  <c r="S17" i="5"/>
  <c r="R17" i="5"/>
  <c r="O17" i="5"/>
  <c r="N17" i="5"/>
  <c r="L17" i="5"/>
  <c r="K17" i="5"/>
  <c r="H17" i="5"/>
  <c r="G17" i="5"/>
  <c r="E17" i="5"/>
  <c r="D17" i="5"/>
  <c r="AJ16" i="5"/>
  <c r="V16" i="5"/>
  <c r="U16" i="5"/>
  <c r="S16" i="5"/>
  <c r="R16" i="5"/>
  <c r="O16" i="5"/>
  <c r="N16" i="5"/>
  <c r="L16" i="5"/>
  <c r="K16" i="5"/>
  <c r="H16" i="5"/>
  <c r="G16" i="5"/>
  <c r="E16" i="5"/>
  <c r="D16" i="5"/>
  <c r="AJ15" i="5"/>
  <c r="AI15" i="5"/>
  <c r="U15" i="5"/>
  <c r="R15" i="5"/>
  <c r="O15" i="5"/>
  <c r="N15" i="5"/>
  <c r="L15" i="5"/>
  <c r="K15" i="5"/>
  <c r="H15" i="5"/>
  <c r="G15" i="5"/>
  <c r="E15" i="5"/>
  <c r="D15" i="5"/>
  <c r="V14" i="5"/>
  <c r="U14" i="5"/>
  <c r="S14" i="5"/>
  <c r="R14" i="5"/>
  <c r="O14" i="5"/>
  <c r="N14" i="5"/>
  <c r="L14" i="5"/>
  <c r="K14" i="5"/>
  <c r="H14" i="5"/>
  <c r="G14" i="5"/>
  <c r="E14" i="5"/>
  <c r="D14" i="5"/>
  <c r="U13" i="5"/>
  <c r="R13" i="5"/>
  <c r="N13" i="5"/>
  <c r="K13" i="5"/>
  <c r="G13" i="5"/>
  <c r="D13" i="5"/>
  <c r="V12" i="5"/>
  <c r="U12" i="5"/>
  <c r="S12" i="5"/>
  <c r="R12" i="5"/>
  <c r="O12" i="5"/>
  <c r="N12" i="5"/>
  <c r="L12" i="5"/>
  <c r="K12" i="5"/>
  <c r="H12" i="5"/>
  <c r="G12" i="5"/>
  <c r="E12" i="5"/>
  <c r="D12" i="5"/>
  <c r="V11" i="5"/>
  <c r="U11" i="5"/>
  <c r="S11" i="5"/>
  <c r="R11" i="5"/>
  <c r="O11" i="5"/>
  <c r="N11" i="5"/>
  <c r="L11" i="5"/>
  <c r="K11" i="5"/>
  <c r="H11" i="5"/>
  <c r="G11" i="5"/>
  <c r="E11" i="5"/>
  <c r="D11" i="5"/>
  <c r="V10" i="5"/>
  <c r="U10" i="5"/>
  <c r="S10" i="5"/>
  <c r="R10" i="5"/>
  <c r="O10" i="5"/>
  <c r="N10" i="5"/>
  <c r="L10" i="5"/>
  <c r="K10" i="5"/>
  <c r="H10" i="5"/>
  <c r="G10" i="5"/>
  <c r="E10" i="5"/>
  <c r="D10" i="5"/>
  <c r="V9" i="5"/>
  <c r="U9" i="5"/>
  <c r="S9" i="5"/>
  <c r="R9" i="5"/>
  <c r="O9" i="5"/>
  <c r="N9" i="5"/>
  <c r="L9" i="5"/>
  <c r="K9" i="5"/>
  <c r="H9" i="5"/>
  <c r="G9" i="5"/>
  <c r="E9" i="5"/>
  <c r="D9" i="5"/>
  <c r="V8" i="5"/>
  <c r="U8" i="5"/>
  <c r="S8" i="5"/>
  <c r="R8" i="5"/>
  <c r="O8" i="5"/>
  <c r="N8" i="5"/>
  <c r="L8" i="5"/>
  <c r="K8" i="5"/>
  <c r="H8" i="5"/>
  <c r="G8" i="5"/>
  <c r="E8" i="5"/>
  <c r="D8" i="5"/>
  <c r="V7" i="5"/>
  <c r="U7" i="5"/>
  <c r="S7" i="5"/>
  <c r="R7" i="5"/>
  <c r="O7" i="5"/>
  <c r="N7" i="5"/>
  <c r="L7" i="5"/>
  <c r="K7" i="5"/>
  <c r="H7" i="5"/>
  <c r="G7" i="5"/>
  <c r="E7" i="5"/>
  <c r="D7" i="5"/>
  <c r="AI6" i="5"/>
  <c r="AG6" i="5"/>
  <c r="V6" i="5"/>
  <c r="U6" i="5"/>
  <c r="S6" i="5"/>
  <c r="R6" i="5"/>
  <c r="O6" i="5"/>
  <c r="N6" i="5"/>
  <c r="L6" i="5"/>
  <c r="K6" i="5"/>
  <c r="H6" i="5"/>
  <c r="G6" i="5"/>
  <c r="E6" i="5"/>
  <c r="D6" i="5"/>
  <c r="U5" i="5"/>
  <c r="R5" i="5"/>
  <c r="N5" i="5"/>
  <c r="K5" i="5"/>
  <c r="G5" i="5"/>
  <c r="D5" i="5"/>
  <c r="V4" i="5"/>
  <c r="U4" i="5"/>
  <c r="S4" i="5"/>
  <c r="R4" i="5"/>
  <c r="O4" i="5"/>
  <c r="N4" i="5"/>
  <c r="L4" i="5"/>
  <c r="K4" i="5"/>
  <c r="H4" i="5"/>
  <c r="G4" i="5"/>
  <c r="E4" i="5"/>
  <c r="D4" i="5"/>
  <c r="M40" i="3"/>
  <c r="L40" i="3"/>
  <c r="K40" i="3"/>
  <c r="J40" i="3"/>
  <c r="N40" i="3" s="1"/>
  <c r="O40" i="3" s="1"/>
  <c r="M39" i="3"/>
  <c r="L39" i="3"/>
  <c r="K39" i="3"/>
  <c r="J39" i="3"/>
  <c r="I39" i="3"/>
  <c r="H39" i="3"/>
  <c r="G39" i="3"/>
  <c r="F39" i="3"/>
  <c r="E39" i="3"/>
  <c r="D39" i="3"/>
  <c r="C39" i="3"/>
  <c r="B39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O37" i="3" s="1"/>
  <c r="M36" i="3"/>
  <c r="L36" i="3"/>
  <c r="K36" i="3"/>
  <c r="J36" i="3"/>
  <c r="I36" i="3"/>
  <c r="H36" i="3"/>
  <c r="G36" i="3"/>
  <c r="F36" i="3"/>
  <c r="E36" i="3"/>
  <c r="D36" i="3"/>
  <c r="C36" i="3"/>
  <c r="B36" i="3"/>
  <c r="M35" i="3"/>
  <c r="L35" i="3"/>
  <c r="K35" i="3"/>
  <c r="J35" i="3"/>
  <c r="I35" i="3"/>
  <c r="H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E34" i="3"/>
  <c r="D34" i="3"/>
  <c r="C34" i="3"/>
  <c r="B34" i="3"/>
  <c r="M33" i="3"/>
  <c r="L33" i="3"/>
  <c r="K33" i="3"/>
  <c r="J33" i="3"/>
  <c r="I33" i="3"/>
  <c r="H33" i="3"/>
  <c r="G33" i="3"/>
  <c r="F33" i="3"/>
  <c r="E33" i="3"/>
  <c r="D33" i="3"/>
  <c r="C33" i="3"/>
  <c r="B33" i="3"/>
  <c r="M32" i="3"/>
  <c r="L32" i="3"/>
  <c r="K32" i="3"/>
  <c r="J32" i="3"/>
  <c r="N32" i="3" s="1"/>
  <c r="O32" i="3" s="1"/>
  <c r="N31" i="3"/>
  <c r="O31" i="3" s="1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N29" i="3" s="1"/>
  <c r="O29" i="3" s="1"/>
  <c r="M27" i="3"/>
  <c r="L27" i="3"/>
  <c r="K27" i="3"/>
  <c r="J27" i="3"/>
  <c r="I27" i="3"/>
  <c r="H27" i="3"/>
  <c r="G27" i="3"/>
  <c r="F27" i="3"/>
  <c r="E27" i="3"/>
  <c r="D27" i="3"/>
  <c r="C27" i="3"/>
  <c r="B27" i="3"/>
  <c r="N39" i="3" l="1"/>
  <c r="O39" i="3" s="1"/>
  <c r="N36" i="3"/>
  <c r="O36" i="3" s="1"/>
  <c r="J21" i="5"/>
  <c r="L21" i="5" s="1"/>
  <c r="AE19" i="5"/>
  <c r="AF19" i="5" s="1"/>
  <c r="G43" i="3"/>
  <c r="D43" i="3"/>
  <c r="E43" i="3"/>
  <c r="M43" i="3"/>
  <c r="K43" i="3"/>
  <c r="I43" i="3"/>
  <c r="L43" i="3"/>
  <c r="N35" i="3"/>
  <c r="O35" i="3" s="1"/>
  <c r="N38" i="3"/>
  <c r="O38" i="3" s="1"/>
  <c r="C43" i="3"/>
  <c r="N34" i="3"/>
  <c r="O34" i="3" s="1"/>
  <c r="F43" i="3"/>
  <c r="N33" i="3"/>
  <c r="O33" i="3" s="1"/>
  <c r="B43" i="3"/>
  <c r="H43" i="3"/>
  <c r="J43" i="3"/>
  <c r="N30" i="3"/>
  <c r="O30" i="3" s="1"/>
  <c r="AF5" i="5"/>
  <c r="H21" i="5"/>
  <c r="U21" i="5"/>
  <c r="AG17" i="5"/>
  <c r="AG7" i="5"/>
  <c r="AI17" i="5"/>
  <c r="F25" i="5"/>
  <c r="AJ7" i="5"/>
  <c r="AJ17" i="5"/>
  <c r="H25" i="5"/>
  <c r="AG16" i="5"/>
  <c r="G21" i="5"/>
  <c r="AJ8" i="5"/>
  <c r="AI18" i="5"/>
  <c r="E21" i="5"/>
  <c r="AG18" i="5"/>
  <c r="R21" i="5"/>
  <c r="AJ18" i="5"/>
  <c r="C25" i="5"/>
  <c r="AF15" i="5"/>
  <c r="AJ6" i="5"/>
  <c r="AG15" i="5"/>
  <c r="AF14" i="5"/>
  <c r="AG14" i="5"/>
  <c r="AI14" i="5"/>
  <c r="AG4" i="5"/>
  <c r="AJ14" i="5"/>
  <c r="AF4" i="5"/>
  <c r="AL21" i="5"/>
  <c r="AF13" i="5"/>
  <c r="AI13" i="5"/>
  <c r="O25" i="5"/>
  <c r="M25" i="5"/>
  <c r="O21" i="5"/>
  <c r="N21" i="5"/>
  <c r="D21" i="5"/>
  <c r="AI5" i="5"/>
  <c r="AI16" i="5"/>
  <c r="K19" i="5"/>
  <c r="K21" i="5" s="1"/>
  <c r="AI4" i="5"/>
  <c r="AJ4" i="5"/>
  <c r="AF12" i="5"/>
  <c r="S21" i="5"/>
  <c r="AF11" i="5"/>
  <c r="AG12" i="5"/>
  <c r="AF10" i="5"/>
  <c r="AG11" i="5"/>
  <c r="AI19" i="5"/>
  <c r="AF9" i="5"/>
  <c r="AG10" i="5"/>
  <c r="AI12" i="5"/>
  <c r="V21" i="5"/>
  <c r="AF8" i="5"/>
  <c r="AG9" i="5"/>
  <c r="AI11" i="5"/>
  <c r="AJ12" i="5"/>
  <c r="AF7" i="5"/>
  <c r="AG8" i="5"/>
  <c r="AI10" i="5"/>
  <c r="AJ11" i="5"/>
  <c r="AF6" i="5"/>
  <c r="AI9" i="5"/>
  <c r="AJ10" i="5"/>
  <c r="AF18" i="5"/>
  <c r="AI8" i="5"/>
  <c r="AJ9" i="5"/>
  <c r="AF17" i="5"/>
  <c r="AI7" i="5"/>
  <c r="AF16" i="5"/>
  <c r="N27" i="3"/>
  <c r="L25" i="5" l="1"/>
  <c r="J25" i="5"/>
  <c r="AE21" i="5"/>
  <c r="AK19" i="5"/>
  <c r="AI21" i="5"/>
  <c r="AJ21" i="5"/>
  <c r="AJ25" i="5"/>
  <c r="O27" i="3"/>
  <c r="O43" i="3" s="1"/>
  <c r="N43" i="3"/>
  <c r="AE25" i="5" l="1"/>
  <c r="AF21" i="5"/>
  <c r="AG25" i="5"/>
  <c r="AG21" i="5"/>
  <c r="AK21" i="5"/>
  <c r="M21" i="4"/>
  <c r="M28" i="4" s="1"/>
  <c r="J19" i="4"/>
  <c r="J21" i="4" s="1"/>
  <c r="J25" i="4" s="1"/>
  <c r="M25" i="4" l="1"/>
  <c r="AA5" i="4"/>
  <c r="AE5" i="4" s="1"/>
  <c r="AA6" i="4"/>
  <c r="AE6" i="4" s="1"/>
  <c r="AA7" i="4"/>
  <c r="AE7" i="4" s="1"/>
  <c r="AA8" i="4"/>
  <c r="AE8" i="4" s="1"/>
  <c r="AA9" i="4"/>
  <c r="AE9" i="4" s="1"/>
  <c r="AA10" i="4"/>
  <c r="AE10" i="4" s="1"/>
  <c r="AA11" i="4"/>
  <c r="AE11" i="4" s="1"/>
  <c r="AA12" i="4"/>
  <c r="AE12" i="4" s="1"/>
  <c r="AA13" i="4"/>
  <c r="AE13" i="4" s="1"/>
  <c r="AA14" i="4"/>
  <c r="AE14" i="4" s="1"/>
  <c r="AA15" i="4"/>
  <c r="AE15" i="4" s="1"/>
  <c r="AA16" i="4"/>
  <c r="AE16" i="4" s="1"/>
  <c r="AA17" i="4"/>
  <c r="AA18" i="4"/>
  <c r="AE18" i="4" s="1"/>
  <c r="AA19" i="4"/>
  <c r="AE19" i="4" s="1"/>
  <c r="AA4" i="4"/>
  <c r="AA23" i="4"/>
  <c r="AE23" i="4" s="1"/>
  <c r="X23" i="4"/>
  <c r="AD23" i="4" s="1"/>
  <c r="X19" i="4"/>
  <c r="AD19" i="4" s="1"/>
  <c r="W19" i="4"/>
  <c r="X18" i="4"/>
  <c r="AD18" i="4" s="1"/>
  <c r="W18" i="4"/>
  <c r="X17" i="4"/>
  <c r="AD17" i="4" s="1"/>
  <c r="W17" i="4"/>
  <c r="X16" i="4"/>
  <c r="AD16" i="4" s="1"/>
  <c r="W16" i="4"/>
  <c r="X15" i="4"/>
  <c r="AD15" i="4" s="1"/>
  <c r="W15" i="4"/>
  <c r="X14" i="4"/>
  <c r="AD14" i="4" s="1"/>
  <c r="W14" i="4"/>
  <c r="X13" i="4"/>
  <c r="AD13" i="4" s="1"/>
  <c r="W13" i="4"/>
  <c r="X12" i="4"/>
  <c r="AD12" i="4" s="1"/>
  <c r="W12" i="4"/>
  <c r="X11" i="4"/>
  <c r="AD11" i="4" s="1"/>
  <c r="W11" i="4"/>
  <c r="X10" i="4"/>
  <c r="AD10" i="4" s="1"/>
  <c r="W10" i="4"/>
  <c r="X9" i="4"/>
  <c r="AD9" i="4" s="1"/>
  <c r="W9" i="4"/>
  <c r="X8" i="4"/>
  <c r="AD8" i="4" s="1"/>
  <c r="W8" i="4"/>
  <c r="X7" i="4"/>
  <c r="AD7" i="4" s="1"/>
  <c r="W7" i="4"/>
  <c r="X6" i="4"/>
  <c r="AD6" i="4" s="1"/>
  <c r="W6" i="4"/>
  <c r="X5" i="4"/>
  <c r="AD5" i="4" s="1"/>
  <c r="W5" i="4"/>
  <c r="X4" i="4"/>
  <c r="W4" i="4"/>
  <c r="W21" i="4" l="1"/>
  <c r="AE4" i="4"/>
  <c r="AA21" i="4"/>
  <c r="AE21" i="4" s="1"/>
  <c r="AD4" i="4"/>
  <c r="X21" i="4"/>
  <c r="AD21" i="4" s="1"/>
  <c r="AE17" i="4"/>
  <c r="T21" i="4"/>
  <c r="T28" i="4" s="1"/>
  <c r="P21" i="4"/>
  <c r="U19" i="4"/>
  <c r="Q21" i="4"/>
  <c r="V18" i="4"/>
  <c r="U18" i="4"/>
  <c r="S18" i="4"/>
  <c r="R18" i="4"/>
  <c r="V17" i="4"/>
  <c r="U17" i="4"/>
  <c r="S17" i="4"/>
  <c r="R17" i="4"/>
  <c r="V16" i="4"/>
  <c r="U16" i="4"/>
  <c r="S16" i="4"/>
  <c r="R16" i="4"/>
  <c r="U15" i="4"/>
  <c r="R15" i="4"/>
  <c r="V14" i="4"/>
  <c r="U14" i="4"/>
  <c r="S14" i="4"/>
  <c r="R14" i="4"/>
  <c r="U13" i="4"/>
  <c r="R13" i="4"/>
  <c r="V12" i="4"/>
  <c r="U12" i="4"/>
  <c r="S12" i="4"/>
  <c r="R12" i="4"/>
  <c r="V11" i="4"/>
  <c r="U11" i="4"/>
  <c r="S11" i="4"/>
  <c r="R11" i="4"/>
  <c r="V10" i="4"/>
  <c r="U10" i="4"/>
  <c r="S10" i="4"/>
  <c r="R10" i="4"/>
  <c r="V9" i="4"/>
  <c r="U9" i="4"/>
  <c r="S9" i="4"/>
  <c r="R9" i="4"/>
  <c r="V8" i="4"/>
  <c r="U8" i="4"/>
  <c r="S8" i="4"/>
  <c r="R8" i="4"/>
  <c r="V7" i="4"/>
  <c r="U7" i="4"/>
  <c r="S7" i="4"/>
  <c r="R7" i="4"/>
  <c r="V6" i="4"/>
  <c r="U6" i="4"/>
  <c r="S6" i="4"/>
  <c r="R6" i="4"/>
  <c r="U5" i="4"/>
  <c r="R5" i="4"/>
  <c r="V4" i="4"/>
  <c r="U4" i="4"/>
  <c r="S4" i="4"/>
  <c r="R4" i="4"/>
  <c r="L25" i="4"/>
  <c r="I21" i="4"/>
  <c r="F21" i="4"/>
  <c r="H25" i="4" s="1"/>
  <c r="C21" i="4"/>
  <c r="B21" i="4"/>
  <c r="N19" i="4"/>
  <c r="G19" i="4"/>
  <c r="D19" i="4"/>
  <c r="O18" i="4"/>
  <c r="N18" i="4"/>
  <c r="L18" i="4"/>
  <c r="K18" i="4"/>
  <c r="H18" i="4"/>
  <c r="G18" i="4"/>
  <c r="E18" i="4"/>
  <c r="D18" i="4"/>
  <c r="AB17" i="4"/>
  <c r="O17" i="4"/>
  <c r="N17" i="4"/>
  <c r="L17" i="4"/>
  <c r="K17" i="4"/>
  <c r="H17" i="4"/>
  <c r="G17" i="4"/>
  <c r="E17" i="4"/>
  <c r="D17" i="4"/>
  <c r="Y16" i="4"/>
  <c r="O16" i="4"/>
  <c r="N16" i="4"/>
  <c r="L16" i="4"/>
  <c r="K16" i="4"/>
  <c r="H16" i="4"/>
  <c r="G16" i="4"/>
  <c r="E16" i="4"/>
  <c r="D16" i="4"/>
  <c r="O15" i="4"/>
  <c r="N15" i="4"/>
  <c r="L15" i="4"/>
  <c r="K15" i="4"/>
  <c r="H15" i="4"/>
  <c r="G15" i="4"/>
  <c r="E15" i="4"/>
  <c r="D15" i="4"/>
  <c r="Z14" i="4"/>
  <c r="O14" i="4"/>
  <c r="N14" i="4"/>
  <c r="L14" i="4"/>
  <c r="K14" i="4"/>
  <c r="H14" i="4"/>
  <c r="G14" i="4"/>
  <c r="E14" i="4"/>
  <c r="D14" i="4"/>
  <c r="N13" i="4"/>
  <c r="K13" i="4"/>
  <c r="G13" i="4"/>
  <c r="D13" i="4"/>
  <c r="O12" i="4"/>
  <c r="N12" i="4"/>
  <c r="L12" i="4"/>
  <c r="K12" i="4"/>
  <c r="H12" i="4"/>
  <c r="G12" i="4"/>
  <c r="E12" i="4"/>
  <c r="D12" i="4"/>
  <c r="Z11" i="4"/>
  <c r="O11" i="4"/>
  <c r="N11" i="4"/>
  <c r="L11" i="4"/>
  <c r="K11" i="4"/>
  <c r="H11" i="4"/>
  <c r="G11" i="4"/>
  <c r="E11" i="4"/>
  <c r="D11" i="4"/>
  <c r="O10" i="4"/>
  <c r="N10" i="4"/>
  <c r="L10" i="4"/>
  <c r="K10" i="4"/>
  <c r="H10" i="4"/>
  <c r="G10" i="4"/>
  <c r="E10" i="4"/>
  <c r="D10" i="4"/>
  <c r="O9" i="4"/>
  <c r="N9" i="4"/>
  <c r="L9" i="4"/>
  <c r="K9" i="4"/>
  <c r="H9" i="4"/>
  <c r="G9" i="4"/>
  <c r="E9" i="4"/>
  <c r="D9" i="4"/>
  <c r="O8" i="4"/>
  <c r="N8" i="4"/>
  <c r="L8" i="4"/>
  <c r="K8" i="4"/>
  <c r="H8" i="4"/>
  <c r="G8" i="4"/>
  <c r="E8" i="4"/>
  <c r="D8" i="4"/>
  <c r="AC7" i="4"/>
  <c r="O7" i="4"/>
  <c r="N7" i="4"/>
  <c r="L7" i="4"/>
  <c r="K7" i="4"/>
  <c r="H7" i="4"/>
  <c r="G7" i="4"/>
  <c r="E7" i="4"/>
  <c r="D7" i="4"/>
  <c r="Z6" i="4"/>
  <c r="O6" i="4"/>
  <c r="N6" i="4"/>
  <c r="L6" i="4"/>
  <c r="K6" i="4"/>
  <c r="H6" i="4"/>
  <c r="G6" i="4"/>
  <c r="E6" i="4"/>
  <c r="D6" i="4"/>
  <c r="N5" i="4"/>
  <c r="K5" i="4"/>
  <c r="G5" i="4"/>
  <c r="D5" i="4"/>
  <c r="AC4" i="4"/>
  <c r="O4" i="4"/>
  <c r="N4" i="4"/>
  <c r="L4" i="4"/>
  <c r="K4" i="4"/>
  <c r="H4" i="4"/>
  <c r="G4" i="4"/>
  <c r="E4" i="4"/>
  <c r="D4" i="4"/>
  <c r="K29" i="2"/>
  <c r="K30" i="2" s="1"/>
  <c r="K31" i="2" s="1"/>
  <c r="J29" i="2"/>
  <c r="J30" i="2" s="1"/>
  <c r="J31" i="2" s="1"/>
  <c r="E25" i="4" l="1"/>
  <c r="C25" i="4"/>
  <c r="AB21" i="4"/>
  <c r="U21" i="4"/>
  <c r="Q25" i="4"/>
  <c r="S25" i="4"/>
  <c r="S21" i="4"/>
  <c r="Z4" i="4"/>
  <c r="AC16" i="4"/>
  <c r="AC9" i="4"/>
  <c r="R19" i="4"/>
  <c r="R21" i="4" s="1"/>
  <c r="AB14" i="4"/>
  <c r="G21" i="4"/>
  <c r="AB6" i="4"/>
  <c r="Z8" i="4"/>
  <c r="Y14" i="4"/>
  <c r="Y12" i="4"/>
  <c r="AC14" i="4"/>
  <c r="V21" i="4"/>
  <c r="Y6" i="4"/>
  <c r="AC8" i="4"/>
  <c r="Y18" i="4"/>
  <c r="N21" i="4"/>
  <c r="Z18" i="4"/>
  <c r="T25" i="4"/>
  <c r="V25" i="4"/>
  <c r="Z9" i="4"/>
  <c r="Y11" i="4"/>
  <c r="D21" i="4"/>
  <c r="AB11" i="4"/>
  <c r="AC11" i="4"/>
  <c r="E21" i="4"/>
  <c r="Y19" i="4"/>
  <c r="Z10" i="4"/>
  <c r="H21" i="4"/>
  <c r="AC18" i="4"/>
  <c r="Z17" i="4"/>
  <c r="AB18" i="4"/>
  <c r="AC6" i="4"/>
  <c r="Y17" i="4"/>
  <c r="AC17" i="4"/>
  <c r="Y5" i="4"/>
  <c r="AB5" i="4"/>
  <c r="O25" i="4"/>
  <c r="K19" i="4"/>
  <c r="K21" i="4" s="1"/>
  <c r="Y8" i="4"/>
  <c r="Z15" i="4"/>
  <c r="AB19" i="4"/>
  <c r="Y10" i="4"/>
  <c r="Z16" i="4"/>
  <c r="AB16" i="4"/>
  <c r="F25" i="4"/>
  <c r="AB10" i="4"/>
  <c r="Y13" i="4"/>
  <c r="AC10" i="4"/>
  <c r="L21" i="4"/>
  <c r="AB9" i="4"/>
  <c r="O21" i="4"/>
  <c r="Y4" i="4"/>
  <c r="Z7" i="4"/>
  <c r="AC12" i="4"/>
  <c r="AB15" i="4"/>
  <c r="Y9" i="4"/>
  <c r="AB13" i="4"/>
  <c r="F28" i="4"/>
  <c r="AB8" i="4"/>
  <c r="Z12" i="4"/>
  <c r="Y15" i="4"/>
  <c r="Y7" i="4"/>
  <c r="AB12" i="4"/>
  <c r="AB4" i="4"/>
  <c r="AC15" i="4"/>
  <c r="AB7" i="4"/>
  <c r="J19" i="2"/>
  <c r="Z21" i="4" l="1"/>
  <c r="Y21" i="4"/>
  <c r="Z25" i="4"/>
  <c r="X25" i="4"/>
  <c r="AA25" i="4"/>
  <c r="AC21" i="4"/>
  <c r="AA28" i="4"/>
  <c r="AC25" i="4"/>
  <c r="T4" i="2"/>
  <c r="X4" i="2" s="1"/>
  <c r="Q4" i="2"/>
  <c r="P4" i="2"/>
  <c r="T23" i="2"/>
  <c r="Q23" i="2"/>
  <c r="W23" i="2" s="1"/>
  <c r="T19" i="2"/>
  <c r="Q19" i="2"/>
  <c r="W19" i="2" s="1"/>
  <c r="P19" i="2"/>
  <c r="T18" i="2"/>
  <c r="Q18" i="2"/>
  <c r="P18" i="2"/>
  <c r="T17" i="2"/>
  <c r="X17" i="2" s="1"/>
  <c r="Q17" i="2"/>
  <c r="P17" i="2"/>
  <c r="T16" i="2"/>
  <c r="Q16" i="2"/>
  <c r="P16" i="2"/>
  <c r="T15" i="2"/>
  <c r="X15" i="2" s="1"/>
  <c r="Q15" i="2"/>
  <c r="P15" i="2"/>
  <c r="T14" i="2"/>
  <c r="Q14" i="2"/>
  <c r="P14" i="2"/>
  <c r="T13" i="2"/>
  <c r="X13" i="2" s="1"/>
  <c r="Q13" i="2"/>
  <c r="W13" i="2" s="1"/>
  <c r="P13" i="2"/>
  <c r="T12" i="2"/>
  <c r="X12" i="2" s="1"/>
  <c r="Q12" i="2"/>
  <c r="P12" i="2"/>
  <c r="T11" i="2"/>
  <c r="Q11" i="2"/>
  <c r="P11" i="2"/>
  <c r="T10" i="2"/>
  <c r="X10" i="2" s="1"/>
  <c r="Q10" i="2"/>
  <c r="P10" i="2"/>
  <c r="T9" i="2"/>
  <c r="Q9" i="2"/>
  <c r="P9" i="2"/>
  <c r="T8" i="2"/>
  <c r="X8" i="2" s="1"/>
  <c r="Q8" i="2"/>
  <c r="P8" i="2"/>
  <c r="T7" i="2"/>
  <c r="Q7" i="2"/>
  <c r="W7" i="2" s="1"/>
  <c r="P7" i="2"/>
  <c r="T6" i="2"/>
  <c r="Q6" i="2"/>
  <c r="P6" i="2"/>
  <c r="T5" i="2"/>
  <c r="Q5" i="2"/>
  <c r="P5" i="2"/>
  <c r="M18" i="3"/>
  <c r="L18" i="3"/>
  <c r="K18" i="3"/>
  <c r="J18" i="3"/>
  <c r="M17" i="3"/>
  <c r="L17" i="3"/>
  <c r="K17" i="3"/>
  <c r="J17" i="3"/>
  <c r="I17" i="3"/>
  <c r="H17" i="3"/>
  <c r="G17" i="3"/>
  <c r="F17" i="3"/>
  <c r="E17" i="3"/>
  <c r="D17" i="3"/>
  <c r="C17" i="3"/>
  <c r="B17" i="3"/>
  <c r="M16" i="3"/>
  <c r="L16" i="3"/>
  <c r="K16" i="3"/>
  <c r="J16" i="3"/>
  <c r="I16" i="3"/>
  <c r="H16" i="3"/>
  <c r="G16" i="3"/>
  <c r="F16" i="3"/>
  <c r="E16" i="3"/>
  <c r="D16" i="3"/>
  <c r="C16" i="3"/>
  <c r="B16" i="3"/>
  <c r="M15" i="3"/>
  <c r="L15" i="3"/>
  <c r="N15" i="3" s="1"/>
  <c r="O15" i="3" s="1"/>
  <c r="M14" i="3"/>
  <c r="L14" i="3"/>
  <c r="K14" i="3"/>
  <c r="J14" i="3"/>
  <c r="I14" i="3"/>
  <c r="H14" i="3"/>
  <c r="G14" i="3"/>
  <c r="F14" i="3"/>
  <c r="E14" i="3"/>
  <c r="D14" i="3"/>
  <c r="C14" i="3"/>
  <c r="B14" i="3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N9" i="3"/>
  <c r="O9" i="3" s="1"/>
  <c r="M8" i="3"/>
  <c r="L8" i="3"/>
  <c r="K8" i="3"/>
  <c r="J8" i="3"/>
  <c r="I8" i="3"/>
  <c r="H8" i="3"/>
  <c r="G8" i="3"/>
  <c r="F8" i="3"/>
  <c r="E8" i="3"/>
  <c r="D8" i="3"/>
  <c r="C8" i="3"/>
  <c r="B8" i="3"/>
  <c r="M7" i="3"/>
  <c r="N7" i="3" s="1"/>
  <c r="O7" i="3" s="1"/>
  <c r="M5" i="3"/>
  <c r="L5" i="3"/>
  <c r="K5" i="3"/>
  <c r="J5" i="3"/>
  <c r="I5" i="3"/>
  <c r="H5" i="3"/>
  <c r="G5" i="3"/>
  <c r="F5" i="3"/>
  <c r="E5" i="3"/>
  <c r="D5" i="3"/>
  <c r="C5" i="3"/>
  <c r="B5" i="3"/>
  <c r="N5" i="3" s="1"/>
  <c r="U13" i="2" l="1"/>
  <c r="N18" i="3"/>
  <c r="O18" i="3" s="1"/>
  <c r="N10" i="3"/>
  <c r="O10" i="3" s="1"/>
  <c r="S9" i="2"/>
  <c r="R4" i="2"/>
  <c r="V16" i="2"/>
  <c r="S16" i="2"/>
  <c r="S11" i="2"/>
  <c r="V9" i="2"/>
  <c r="N14" i="3"/>
  <c r="O14" i="3" s="1"/>
  <c r="V18" i="2"/>
  <c r="S18" i="2"/>
  <c r="S17" i="2"/>
  <c r="R15" i="2"/>
  <c r="V14" i="2"/>
  <c r="S14" i="2"/>
  <c r="V11" i="2"/>
  <c r="R10" i="2"/>
  <c r="V6" i="2"/>
  <c r="R5" i="2"/>
  <c r="S12" i="2"/>
  <c r="R8" i="2"/>
  <c r="R6" i="2"/>
  <c r="N17" i="3"/>
  <c r="O17" i="3" s="1"/>
  <c r="N16" i="3"/>
  <c r="O16" i="3" s="1"/>
  <c r="C21" i="3"/>
  <c r="E21" i="3"/>
  <c r="N11" i="3"/>
  <c r="D21" i="3"/>
  <c r="L21" i="3"/>
  <c r="N13" i="3"/>
  <c r="O13" i="3" s="1"/>
  <c r="I21" i="3"/>
  <c r="J21" i="3"/>
  <c r="M21" i="3"/>
  <c r="N12" i="3"/>
  <c r="O12" i="3" s="1"/>
  <c r="N8" i="3"/>
  <c r="O8" i="3" s="1"/>
  <c r="F21" i="3"/>
  <c r="G21" i="3"/>
  <c r="H21" i="3"/>
  <c r="K21" i="3"/>
  <c r="U18" i="2"/>
  <c r="X18" i="2"/>
  <c r="U7" i="2"/>
  <c r="V7" i="2"/>
  <c r="R11" i="2"/>
  <c r="W11" i="2"/>
  <c r="W8" i="2"/>
  <c r="V8" i="2"/>
  <c r="W18" i="2"/>
  <c r="W6" i="2"/>
  <c r="S6" i="2"/>
  <c r="X23" i="2"/>
  <c r="R14" i="2"/>
  <c r="X11" i="2"/>
  <c r="X16" i="2"/>
  <c r="R7" i="2"/>
  <c r="W9" i="2"/>
  <c r="R17" i="2"/>
  <c r="U17" i="2"/>
  <c r="U5" i="2"/>
  <c r="U16" i="2"/>
  <c r="W14" i="2"/>
  <c r="S10" i="2"/>
  <c r="R16" i="2"/>
  <c r="U6" i="2"/>
  <c r="X6" i="2"/>
  <c r="W16" i="2"/>
  <c r="U9" i="2"/>
  <c r="X14" i="2"/>
  <c r="U12" i="2"/>
  <c r="W12" i="2"/>
  <c r="R9" i="2"/>
  <c r="R19" i="2"/>
  <c r="U14" i="2"/>
  <c r="S7" i="2"/>
  <c r="U19" i="2"/>
  <c r="X9" i="2"/>
  <c r="X7" i="2"/>
  <c r="V17" i="2"/>
  <c r="W17" i="2"/>
  <c r="W5" i="2"/>
  <c r="V10" i="2"/>
  <c r="U15" i="2"/>
  <c r="X5" i="2"/>
  <c r="S8" i="2"/>
  <c r="W10" i="2"/>
  <c r="R13" i="2"/>
  <c r="V15" i="2"/>
  <c r="U11" i="2"/>
  <c r="R12" i="2"/>
  <c r="X19" i="2"/>
  <c r="S15" i="2"/>
  <c r="U10" i="2"/>
  <c r="W15" i="2"/>
  <c r="R18" i="2"/>
  <c r="V12" i="2"/>
  <c r="U8" i="2"/>
  <c r="U4" i="2"/>
  <c r="S4" i="2"/>
  <c r="V4" i="2"/>
  <c r="W4" i="2"/>
  <c r="O5" i="3"/>
  <c r="B21" i="3"/>
  <c r="O11" i="3" l="1"/>
  <c r="O21" i="3" s="1"/>
  <c r="N21" i="3"/>
  <c r="M21" i="2"/>
  <c r="J21" i="2"/>
  <c r="I21" i="2"/>
  <c r="N19" i="2"/>
  <c r="K19" i="2"/>
  <c r="O18" i="2"/>
  <c r="N18" i="2"/>
  <c r="L18" i="2"/>
  <c r="K18" i="2"/>
  <c r="O17" i="2"/>
  <c r="N17" i="2"/>
  <c r="L17" i="2"/>
  <c r="K17" i="2"/>
  <c r="O16" i="2"/>
  <c r="N16" i="2"/>
  <c r="L16" i="2"/>
  <c r="K16" i="2"/>
  <c r="O15" i="2"/>
  <c r="N15" i="2"/>
  <c r="L15" i="2"/>
  <c r="K15" i="2"/>
  <c r="O14" i="2"/>
  <c r="N14" i="2"/>
  <c r="L14" i="2"/>
  <c r="K14" i="2"/>
  <c r="N13" i="2"/>
  <c r="K13" i="2"/>
  <c r="O12" i="2"/>
  <c r="N12" i="2"/>
  <c r="L12" i="2"/>
  <c r="K12" i="2"/>
  <c r="O11" i="2"/>
  <c r="N11" i="2"/>
  <c r="L11" i="2"/>
  <c r="K11" i="2"/>
  <c r="O10" i="2"/>
  <c r="N10" i="2"/>
  <c r="L10" i="2"/>
  <c r="K10" i="2"/>
  <c r="O9" i="2"/>
  <c r="N9" i="2"/>
  <c r="L9" i="2"/>
  <c r="K9" i="2"/>
  <c r="O8" i="2"/>
  <c r="N8" i="2"/>
  <c r="L8" i="2"/>
  <c r="K8" i="2"/>
  <c r="O7" i="2"/>
  <c r="N7" i="2"/>
  <c r="L7" i="2"/>
  <c r="K7" i="2"/>
  <c r="O6" i="2"/>
  <c r="N6" i="2"/>
  <c r="L6" i="2"/>
  <c r="K6" i="2"/>
  <c r="N5" i="2"/>
  <c r="K5" i="2"/>
  <c r="O4" i="2"/>
  <c r="N4" i="2"/>
  <c r="L4" i="2"/>
  <c r="K4" i="2"/>
  <c r="F21" i="2"/>
  <c r="C21" i="2"/>
  <c r="B21" i="2"/>
  <c r="G19" i="2"/>
  <c r="D19" i="2"/>
  <c r="H18" i="2"/>
  <c r="G18" i="2"/>
  <c r="E18" i="2"/>
  <c r="D18" i="2"/>
  <c r="H17" i="2"/>
  <c r="G17" i="2"/>
  <c r="E17" i="2"/>
  <c r="D17" i="2"/>
  <c r="H16" i="2"/>
  <c r="G16" i="2"/>
  <c r="E16" i="2"/>
  <c r="D16" i="2"/>
  <c r="H15" i="2"/>
  <c r="G15" i="2"/>
  <c r="E15" i="2"/>
  <c r="D15" i="2"/>
  <c r="H14" i="2"/>
  <c r="G14" i="2"/>
  <c r="E14" i="2"/>
  <c r="D14" i="2"/>
  <c r="G13" i="2"/>
  <c r="D13" i="2"/>
  <c r="H12" i="2"/>
  <c r="G12" i="2"/>
  <c r="E12" i="2"/>
  <c r="D12" i="2"/>
  <c r="H11" i="2"/>
  <c r="G11" i="2"/>
  <c r="E11" i="2"/>
  <c r="D11" i="2"/>
  <c r="H10" i="2"/>
  <c r="G10" i="2"/>
  <c r="E10" i="2"/>
  <c r="D10" i="2"/>
  <c r="H9" i="2"/>
  <c r="G9" i="2"/>
  <c r="E9" i="2"/>
  <c r="D9" i="2"/>
  <c r="H8" i="2"/>
  <c r="G8" i="2"/>
  <c r="E8" i="2"/>
  <c r="D8" i="2"/>
  <c r="H7" i="2"/>
  <c r="G7" i="2"/>
  <c r="E7" i="2"/>
  <c r="D7" i="2"/>
  <c r="H6" i="2"/>
  <c r="G6" i="2"/>
  <c r="E6" i="2"/>
  <c r="D6" i="2"/>
  <c r="G5" i="2"/>
  <c r="D5" i="2"/>
  <c r="H4" i="2"/>
  <c r="G4" i="2"/>
  <c r="E4" i="2"/>
  <c r="D4" i="2"/>
  <c r="C21" i="1"/>
  <c r="E25" i="1" s="1"/>
  <c r="G13" i="1"/>
  <c r="H18" i="1"/>
  <c r="G18" i="1"/>
  <c r="H17" i="1"/>
  <c r="G17" i="1"/>
  <c r="H16" i="1"/>
  <c r="G16" i="1"/>
  <c r="H15" i="1"/>
  <c r="G15" i="1"/>
  <c r="G19" i="1"/>
  <c r="H14" i="1"/>
  <c r="G14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G5" i="1"/>
  <c r="E18" i="1"/>
  <c r="E17" i="1"/>
  <c r="E16" i="1"/>
  <c r="E15" i="1"/>
  <c r="E12" i="1"/>
  <c r="E11" i="1"/>
  <c r="E10" i="1"/>
  <c r="E9" i="1"/>
  <c r="E8" i="1"/>
  <c r="E7" i="1"/>
  <c r="E6" i="1"/>
  <c r="D18" i="1"/>
  <c r="D17" i="1"/>
  <c r="D16" i="1"/>
  <c r="D15" i="1"/>
  <c r="D19" i="1"/>
  <c r="D14" i="1"/>
  <c r="D13" i="1"/>
  <c r="D12" i="1"/>
  <c r="D11" i="1"/>
  <c r="D10" i="1"/>
  <c r="D9" i="1"/>
  <c r="D8" i="1"/>
  <c r="D7" i="1"/>
  <c r="D6" i="1"/>
  <c r="D5" i="1"/>
  <c r="F21" i="1"/>
  <c r="F28" i="1" s="1"/>
  <c r="B21" i="1"/>
  <c r="E14" i="1"/>
  <c r="H4" i="1"/>
  <c r="G4" i="1"/>
  <c r="E4" i="1"/>
  <c r="D4" i="1"/>
  <c r="P21" i="2" l="1"/>
  <c r="H21" i="2"/>
  <c r="E21" i="2"/>
  <c r="D21" i="2"/>
  <c r="E25" i="2"/>
  <c r="C25" i="2"/>
  <c r="G21" i="2"/>
  <c r="F28" i="2"/>
  <c r="H25" i="2"/>
  <c r="F25" i="2"/>
  <c r="K21" i="2"/>
  <c r="L25" i="2"/>
  <c r="Q21" i="2"/>
  <c r="M25" i="2"/>
  <c r="T21" i="2"/>
  <c r="T28" i="2" s="1"/>
  <c r="N21" i="2"/>
  <c r="O25" i="2"/>
  <c r="M28" i="2"/>
  <c r="O21" i="2"/>
  <c r="L21" i="2"/>
  <c r="J25" i="2"/>
  <c r="E21" i="1"/>
  <c r="G21" i="1"/>
  <c r="D21" i="1"/>
  <c r="H21" i="1"/>
  <c r="C25" i="1"/>
  <c r="F25" i="1"/>
  <c r="H25" i="1"/>
  <c r="S21" i="2" l="1"/>
  <c r="S25" i="2"/>
  <c r="Q25" i="2"/>
  <c r="W21" i="2"/>
  <c r="R21" i="2"/>
  <c r="X21" i="2"/>
  <c r="V25" i="2"/>
  <c r="T25" i="2"/>
  <c r="V21" i="2"/>
  <c r="U21" i="2"/>
</calcChain>
</file>

<file path=xl/sharedStrings.xml><?xml version="1.0" encoding="utf-8"?>
<sst xmlns="http://schemas.openxmlformats.org/spreadsheetml/2006/main" count="829" uniqueCount="61">
  <si>
    <t>ENERO</t>
  </si>
  <si>
    <t>Ejecutivo</t>
  </si>
  <si>
    <t>Presup.</t>
  </si>
  <si>
    <t>Real Cobranza</t>
  </si>
  <si>
    <t>Diferencia Cobranza</t>
  </si>
  <si>
    <t>%</t>
  </si>
  <si>
    <t>Real Pedidos</t>
  </si>
  <si>
    <t>Diferencia Pedidos</t>
  </si>
  <si>
    <t>Andrea</t>
  </si>
  <si>
    <t>Claudia Rdz</t>
  </si>
  <si>
    <t>Daniela</t>
  </si>
  <si>
    <t>Diana</t>
  </si>
  <si>
    <t>Elvira</t>
  </si>
  <si>
    <t>Ever</t>
  </si>
  <si>
    <t>Fabiola</t>
  </si>
  <si>
    <t>Isela</t>
  </si>
  <si>
    <t>Jesus Garza</t>
  </si>
  <si>
    <t>Mauro</t>
  </si>
  <si>
    <t>María Esther</t>
  </si>
  <si>
    <t>Paula</t>
  </si>
  <si>
    <t>Raquel</t>
  </si>
  <si>
    <t>Rodrigo</t>
  </si>
  <si>
    <t>Sandra</t>
  </si>
  <si>
    <t xml:space="preserve">Total Ventas </t>
  </si>
  <si>
    <t>Diferencia</t>
  </si>
  <si>
    <t>Total Ventas 2025</t>
  </si>
  <si>
    <t>Tienda /Otros</t>
  </si>
  <si>
    <t>FEBRERO</t>
  </si>
  <si>
    <t xml:space="preserve">VENTAS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</si>
  <si>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</si>
  <si>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</si>
  <si>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</si>
  <si>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</si>
  <si>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</si>
  <si>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</si>
  <si>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</si>
  <si>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</si>
  <si>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</si>
  <si>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</si>
  <si>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</si>
  <si>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</si>
  <si>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</si>
  <si>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Promedio</t>
  </si>
  <si>
    <t>Jesús</t>
  </si>
  <si>
    <t>Ma. Esther</t>
  </si>
  <si>
    <t>Tienda y otros</t>
  </si>
  <si>
    <t>ACUMULADO</t>
  </si>
  <si>
    <t>Promedio Cobranza</t>
  </si>
  <si>
    <t>Promedio Pedidos</t>
  </si>
  <si>
    <t>MARZO</t>
  </si>
  <si>
    <t>VENTAS 6 Mzo. 26</t>
  </si>
  <si>
    <t>ABRIL</t>
  </si>
  <si>
    <t>MAYO</t>
  </si>
  <si>
    <t>JUNIO</t>
  </si>
  <si>
    <t>Ismael</t>
  </si>
  <si>
    <t>JULIO</t>
  </si>
  <si>
    <t>VENTAS 2 Jul. 26</t>
  </si>
  <si>
    <t>Isamel</t>
  </si>
  <si>
    <t xml:space="preserve"> AGOSTO</t>
  </si>
  <si>
    <t>SEPTIEMBRE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</si>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</sst>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&quot;$&quot;* #,##0_);_(&quot;$&quot;* \(#,##0\);_(&quot;$&quot;* &quot;-&quot;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2D98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2" fillId="0" borderId="0"/>
  </cellStyleXfs>
  <cellXfs count="171">
    <xf numFmtId="0" fontId="0" fillId="0" borderId="0" xfId="0"/>
    <xf numFmtId="164" fontId="2" fillId="0" borderId="1" xfId="1" applyNumberFormat="1" applyFont="1" applyFill="1" applyBorder="1"/>
    <xf numFmtId="164" fontId="2" fillId="2" borderId="2" xfId="1" applyNumberFormat="1" applyFont="1" applyFill="1" applyBorder="1" applyAlignment="1">
      <alignment horizontal="right"/>
    </xf>
    <xf numFmtId="164" fontId="2" fillId="2" borderId="2" xfId="1" applyNumberFormat="1" applyFont="1" applyFill="1" applyBorder="1"/>
    <xf numFmtId="3" fontId="2" fillId="2" borderId="2" xfId="0" applyNumberFormat="1" applyFont="1" applyFill="1" applyBorder="1"/>
    <xf numFmtId="165" fontId="3" fillId="2" borderId="2" xfId="2" applyNumberFormat="1" applyFont="1" applyFill="1" applyBorder="1" applyAlignment="1">
      <alignment horizontal="right"/>
    </xf>
    <xf numFmtId="165" fontId="2" fillId="2" borderId="3" xfId="2" applyNumberFormat="1" applyFont="1" applyFill="1" applyBorder="1"/>
    <xf numFmtId="164" fontId="2" fillId="0" borderId="4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3" borderId="6" xfId="1" applyNumberFormat="1" applyFont="1" applyFill="1" applyBorder="1" applyAlignment="1">
      <alignment horizontal="center" wrapText="1"/>
    </xf>
    <xf numFmtId="3" fontId="2" fillId="0" borderId="7" xfId="0" applyNumberFormat="1" applyFont="1" applyBorder="1" applyAlignment="1">
      <alignment horizontal="center" wrapText="1"/>
    </xf>
    <xf numFmtId="165" fontId="2" fillId="0" borderId="8" xfId="2" applyNumberFormat="1" applyFont="1" applyBorder="1" applyAlignment="1">
      <alignment horizontal="center"/>
    </xf>
    <xf numFmtId="164" fontId="2" fillId="3" borderId="9" xfId="1" applyNumberFormat="1" applyFont="1" applyFill="1" applyBorder="1" applyAlignment="1">
      <alignment horizontal="center" wrapText="1"/>
    </xf>
    <xf numFmtId="165" fontId="2" fillId="0" borderId="10" xfId="2" applyNumberFormat="1" applyFont="1" applyBorder="1" applyAlignment="1">
      <alignment horizontal="center"/>
    </xf>
    <xf numFmtId="0" fontId="2" fillId="0" borderId="11" xfId="0" applyFont="1" applyBorder="1"/>
    <xf numFmtId="164" fontId="0" fillId="0" borderId="5" xfId="1" applyNumberFormat="1" applyFont="1" applyBorder="1"/>
    <xf numFmtId="164" fontId="0" fillId="0" borderId="4" xfId="1" applyNumberFormat="1" applyFont="1" applyBorder="1"/>
    <xf numFmtId="0" fontId="0" fillId="0" borderId="12" xfId="0" applyBorder="1"/>
    <xf numFmtId="165" fontId="2" fillId="0" borderId="13" xfId="2" applyNumberFormat="1" applyFont="1" applyBorder="1"/>
    <xf numFmtId="164" fontId="2" fillId="0" borderId="14" xfId="1" applyNumberFormat="1" applyFont="1" applyBorder="1"/>
    <xf numFmtId="0" fontId="2" fillId="0" borderId="12" xfId="0" applyFont="1" applyBorder="1"/>
    <xf numFmtId="0" fontId="2" fillId="0" borderId="15" xfId="0" applyFont="1" applyBorder="1"/>
    <xf numFmtId="166" fontId="2" fillId="0" borderId="4" xfId="0" applyNumberFormat="1" applyFont="1" applyBorder="1"/>
    <xf numFmtId="164" fontId="2" fillId="0" borderId="16" xfId="1" applyNumberFormat="1" applyFont="1" applyBorder="1" applyAlignment="1">
      <alignment horizontal="right"/>
    </xf>
    <xf numFmtId="164" fontId="0" fillId="0" borderId="17" xfId="0" applyNumberFormat="1" applyBorder="1"/>
    <xf numFmtId="164" fontId="2" fillId="0" borderId="17" xfId="0" applyNumberFormat="1" applyFont="1" applyBorder="1"/>
    <xf numFmtId="164" fontId="0" fillId="0" borderId="16" xfId="1" applyNumberFormat="1" applyFont="1" applyBorder="1"/>
    <xf numFmtId="166" fontId="2" fillId="0" borderId="4" xfId="0" applyNumberFormat="1" applyFont="1" applyBorder="1" applyAlignment="1">
      <alignment horizontal="left"/>
    </xf>
    <xf numFmtId="164" fontId="2" fillId="0" borderId="4" xfId="1" applyNumberFormat="1" applyFont="1" applyFill="1" applyBorder="1"/>
    <xf numFmtId="164" fontId="2" fillId="0" borderId="4" xfId="1" applyNumberFormat="1" applyFont="1" applyBorder="1"/>
    <xf numFmtId="164" fontId="2" fillId="0" borderId="13" xfId="1" applyNumberFormat="1" applyFont="1" applyBorder="1"/>
    <xf numFmtId="166" fontId="3" fillId="3" borderId="1" xfId="0" applyNumberFormat="1" applyFont="1" applyFill="1" applyBorder="1"/>
    <xf numFmtId="164" fontId="3" fillId="3" borderId="18" xfId="1" applyNumberFormat="1" applyFont="1" applyFill="1" applyBorder="1" applyAlignment="1">
      <alignment horizontal="right"/>
    </xf>
    <xf numFmtId="165" fontId="3" fillId="3" borderId="3" xfId="2" applyNumberFormat="1" applyFont="1" applyFill="1" applyBorder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2" fillId="0" borderId="13" xfId="0" applyFont="1" applyBorder="1"/>
    <xf numFmtId="0" fontId="2" fillId="0" borderId="4" xfId="0" applyFont="1" applyBorder="1"/>
    <xf numFmtId="0" fontId="2" fillId="0" borderId="19" xfId="0" applyFont="1" applyBorder="1"/>
    <xf numFmtId="164" fontId="2" fillId="0" borderId="20" xfId="1" applyNumberFormat="1" applyFont="1" applyBorder="1"/>
    <xf numFmtId="164" fontId="2" fillId="0" borderId="19" xfId="1" applyNumberFormat="1" applyFont="1" applyBorder="1"/>
    <xf numFmtId="0" fontId="2" fillId="0" borderId="21" xfId="0" applyFont="1" applyBorder="1"/>
    <xf numFmtId="165" fontId="2" fillId="0" borderId="22" xfId="2" applyNumberFormat="1" applyFont="1" applyBorder="1"/>
    <xf numFmtId="164" fontId="0" fillId="0" borderId="0" xfId="1" applyNumberFormat="1" applyFont="1"/>
    <xf numFmtId="165" fontId="2" fillId="0" borderId="0" xfId="2" applyNumberFormat="1" applyFont="1"/>
    <xf numFmtId="164" fontId="2" fillId="0" borderId="0" xfId="1" applyNumberFormat="1" applyFont="1"/>
    <xf numFmtId="165" fontId="4" fillId="0" borderId="13" xfId="2" applyNumberFormat="1" applyFont="1" applyBorder="1"/>
    <xf numFmtId="164" fontId="2" fillId="5" borderId="2" xfId="1" applyNumberFormat="1" applyFont="1" applyFill="1" applyBorder="1" applyAlignment="1">
      <alignment horizontal="right"/>
    </xf>
    <xf numFmtId="164" fontId="2" fillId="5" borderId="2" xfId="1" applyNumberFormat="1" applyFont="1" applyFill="1" applyBorder="1"/>
    <xf numFmtId="3" fontId="2" fillId="5" borderId="2" xfId="0" applyNumberFormat="1" applyFont="1" applyFill="1" applyBorder="1"/>
    <xf numFmtId="165" fontId="3" fillId="5" borderId="2" xfId="2" applyNumberFormat="1" applyFont="1" applyFill="1" applyBorder="1" applyAlignment="1">
      <alignment horizontal="right"/>
    </xf>
    <xf numFmtId="165" fontId="2" fillId="5" borderId="3" xfId="2" applyNumberFormat="1" applyFont="1" applyFill="1" applyBorder="1"/>
    <xf numFmtId="0" fontId="5" fillId="3" borderId="0" xfId="0" applyFont="1" applyFill="1"/>
    <xf numFmtId="0" fontId="1" fillId="4" borderId="6" xfId="4" applyBorder="1" applyAlignment="1">
      <alignment horizontal="center"/>
    </xf>
    <xf numFmtId="44" fontId="1" fillId="4" borderId="7" xfId="4" applyNumberFormat="1" applyBorder="1" applyAlignment="1">
      <alignment horizontal="center"/>
    </xf>
    <xf numFmtId="44" fontId="1" fillId="4" borderId="8" xfId="4" applyNumberFormat="1" applyBorder="1" applyAlignment="1">
      <alignment horizontal="center"/>
    </xf>
    <xf numFmtId="166" fontId="3" fillId="0" borderId="23" xfId="0" applyNumberFormat="1" applyFont="1" applyBorder="1"/>
    <xf numFmtId="44" fontId="2" fillId="0" borderId="23" xfId="3" applyFont="1" applyBorder="1" applyAlignment="1">
      <alignment horizontal="right"/>
    </xf>
    <xf numFmtId="44" fontId="0" fillId="0" borderId="23" xfId="3" applyFont="1" applyBorder="1"/>
    <xf numFmtId="166" fontId="3" fillId="0" borderId="24" xfId="0" applyNumberFormat="1" applyFont="1" applyBorder="1"/>
    <xf numFmtId="44" fontId="2" fillId="0" borderId="24" xfId="3" applyFont="1" applyBorder="1" applyAlignment="1">
      <alignment horizontal="right"/>
    </xf>
    <xf numFmtId="44" fontId="0" fillId="0" borderId="24" xfId="3" applyFont="1" applyBorder="1"/>
    <xf numFmtId="166" fontId="5" fillId="4" borderId="25" xfId="4" applyNumberFormat="1" applyFont="1" applyBorder="1"/>
    <xf numFmtId="44" fontId="5" fillId="4" borderId="26" xfId="4" applyNumberFormat="1" applyFont="1" applyBorder="1" applyAlignment="1">
      <alignment horizontal="right"/>
    </xf>
    <xf numFmtId="43" fontId="0" fillId="0" borderId="0" xfId="1" applyFont="1"/>
    <xf numFmtId="164" fontId="2" fillId="6" borderId="2" xfId="1" applyNumberFormat="1" applyFont="1" applyFill="1" applyBorder="1" applyAlignment="1">
      <alignment horizontal="right"/>
    </xf>
    <xf numFmtId="164" fontId="2" fillId="6" borderId="2" xfId="1" applyNumberFormat="1" applyFont="1" applyFill="1" applyBorder="1"/>
    <xf numFmtId="3" fontId="2" fillId="6" borderId="2" xfId="0" applyNumberFormat="1" applyFont="1" applyFill="1" applyBorder="1"/>
    <xf numFmtId="165" fontId="3" fillId="6" borderId="2" xfId="2" applyNumberFormat="1" applyFont="1" applyFill="1" applyBorder="1" applyAlignment="1">
      <alignment horizontal="right"/>
    </xf>
    <xf numFmtId="165" fontId="2" fillId="6" borderId="3" xfId="2" applyNumberFormat="1" applyFont="1" applyFill="1" applyBorder="1"/>
    <xf numFmtId="164" fontId="0" fillId="6" borderId="2" xfId="1" applyNumberFormat="1" applyFont="1" applyFill="1" applyBorder="1"/>
    <xf numFmtId="164" fontId="0" fillId="6" borderId="3" xfId="1" applyNumberFormat="1" applyFont="1" applyFill="1" applyBorder="1"/>
    <xf numFmtId="164" fontId="2" fillId="0" borderId="1" xfId="1" applyNumberFormat="1" applyFont="1" applyBorder="1" applyAlignment="1">
      <alignment horizontal="center" wrapText="1"/>
    </xf>
    <xf numFmtId="164" fontId="2" fillId="0" borderId="18" xfId="1" applyNumberFormat="1" applyFont="1" applyBorder="1" applyAlignment="1">
      <alignment horizontal="center" wrapText="1"/>
    </xf>
    <xf numFmtId="164" fontId="0" fillId="0" borderId="19" xfId="1" applyNumberFormat="1" applyFont="1" applyBorder="1"/>
    <xf numFmtId="164" fontId="0" fillId="0" borderId="20" xfId="1" applyNumberFormat="1" applyFont="1" applyBorder="1"/>
    <xf numFmtId="0" fontId="0" fillId="0" borderId="27" xfId="0" applyBorder="1"/>
    <xf numFmtId="0" fontId="0" fillId="0" borderId="4" xfId="0" applyBorder="1"/>
    <xf numFmtId="0" fontId="0" fillId="0" borderId="28" xfId="0" applyBorder="1"/>
    <xf numFmtId="0" fontId="0" fillId="0" borderId="10" xfId="0" applyBorder="1"/>
    <xf numFmtId="0" fontId="0" fillId="0" borderId="17" xfId="0" applyBorder="1"/>
    <xf numFmtId="0" fontId="0" fillId="0" borderId="13" xfId="0" applyBorder="1"/>
    <xf numFmtId="0" fontId="0" fillId="0" borderId="16" xfId="0" applyBorder="1"/>
    <xf numFmtId="164" fontId="5" fillId="3" borderId="7" xfId="0" applyNumberFormat="1" applyFont="1" applyFill="1" applyBorder="1"/>
    <xf numFmtId="165" fontId="3" fillId="3" borderId="3" xfId="2" applyNumberFormat="1" applyFont="1" applyFill="1" applyBorder="1"/>
    <xf numFmtId="164" fontId="5" fillId="3" borderId="1" xfId="1" applyNumberFormat="1" applyFont="1" applyFill="1" applyBorder="1"/>
    <xf numFmtId="164" fontId="3" fillId="3" borderId="7" xfId="0" applyNumberFormat="1" applyFont="1" applyFill="1" applyBorder="1"/>
    <xf numFmtId="164" fontId="5" fillId="3" borderId="18" xfId="1" applyNumberFormat="1" applyFont="1" applyFill="1" applyBorder="1"/>
    <xf numFmtId="164" fontId="3" fillId="3" borderId="3" xfId="1" applyNumberFormat="1" applyFont="1" applyFill="1" applyBorder="1" applyAlignment="1">
      <alignment horizontal="right"/>
    </xf>
    <xf numFmtId="165" fontId="3" fillId="3" borderId="18" xfId="2" applyNumberFormat="1" applyFont="1" applyFill="1" applyBorder="1" applyAlignment="1">
      <alignment horizontal="right"/>
    </xf>
    <xf numFmtId="165" fontId="6" fillId="3" borderId="3" xfId="2" applyNumberFormat="1" applyFont="1" applyFill="1" applyBorder="1" applyAlignment="1">
      <alignment horizontal="right"/>
    </xf>
    <xf numFmtId="165" fontId="6" fillId="3" borderId="3" xfId="2" applyNumberFormat="1" applyFont="1" applyFill="1" applyBorder="1"/>
    <xf numFmtId="164" fontId="2" fillId="7" borderId="2" xfId="1" applyNumberFormat="1" applyFont="1" applyFill="1" applyBorder="1" applyAlignment="1">
      <alignment horizontal="right"/>
    </xf>
    <xf numFmtId="164" fontId="2" fillId="7" borderId="2" xfId="1" applyNumberFormat="1" applyFont="1" applyFill="1" applyBorder="1"/>
    <xf numFmtId="3" fontId="2" fillId="7" borderId="2" xfId="0" applyNumberFormat="1" applyFont="1" applyFill="1" applyBorder="1"/>
    <xf numFmtId="165" fontId="3" fillId="7" borderId="2" xfId="2" applyNumberFormat="1" applyFont="1" applyFill="1" applyBorder="1" applyAlignment="1">
      <alignment horizontal="right"/>
    </xf>
    <xf numFmtId="165" fontId="2" fillId="7" borderId="3" xfId="2" applyNumberFormat="1" applyFont="1" applyFill="1" applyBorder="1"/>
    <xf numFmtId="164" fontId="2" fillId="3" borderId="4" xfId="1" applyNumberFormat="1" applyFont="1" applyFill="1" applyBorder="1"/>
    <xf numFmtId="164" fontId="2" fillId="8" borderId="2" xfId="1" applyNumberFormat="1" applyFont="1" applyFill="1" applyBorder="1" applyAlignment="1">
      <alignment horizontal="right"/>
    </xf>
    <xf numFmtId="164" fontId="2" fillId="8" borderId="2" xfId="1" applyNumberFormat="1" applyFont="1" applyFill="1" applyBorder="1"/>
    <xf numFmtId="3" fontId="2" fillId="8" borderId="2" xfId="0" applyNumberFormat="1" applyFont="1" applyFill="1" applyBorder="1"/>
    <xf numFmtId="165" fontId="3" fillId="8" borderId="2" xfId="2" applyNumberFormat="1" applyFont="1" applyFill="1" applyBorder="1" applyAlignment="1">
      <alignment horizontal="right"/>
    </xf>
    <xf numFmtId="165" fontId="2" fillId="8" borderId="3" xfId="2" applyNumberFormat="1" applyFont="1" applyFill="1" applyBorder="1"/>
    <xf numFmtId="165" fontId="4" fillId="0" borderId="22" xfId="2" applyNumberFormat="1" applyFont="1" applyBorder="1"/>
    <xf numFmtId="165" fontId="4" fillId="0" borderId="13" xfId="2" applyNumberFormat="1" applyFont="1" applyFill="1" applyBorder="1"/>
    <xf numFmtId="164" fontId="0" fillId="0" borderId="16" xfId="1" applyNumberFormat="1" applyFont="1" applyFill="1" applyBorder="1"/>
    <xf numFmtId="164" fontId="0" fillId="0" borderId="4" xfId="1" applyNumberFormat="1" applyFont="1" applyFill="1" applyBorder="1"/>
    <xf numFmtId="165" fontId="2" fillId="0" borderId="13" xfId="2" applyNumberFormat="1" applyFont="1" applyFill="1" applyBorder="1"/>
    <xf numFmtId="164" fontId="2" fillId="0" borderId="16" xfId="1" applyNumberFormat="1" applyFont="1" applyFill="1" applyBorder="1" applyAlignment="1">
      <alignment horizontal="right"/>
    </xf>
    <xf numFmtId="164" fontId="2" fillId="9" borderId="2" xfId="1" applyNumberFormat="1" applyFont="1" applyFill="1" applyBorder="1" applyAlignment="1">
      <alignment horizontal="right"/>
    </xf>
    <xf numFmtId="164" fontId="2" fillId="9" borderId="2" xfId="1" applyNumberFormat="1" applyFont="1" applyFill="1" applyBorder="1"/>
    <xf numFmtId="3" fontId="2" fillId="9" borderId="2" xfId="0" applyNumberFormat="1" applyFont="1" applyFill="1" applyBorder="1"/>
    <xf numFmtId="165" fontId="3" fillId="9" borderId="2" xfId="2" applyNumberFormat="1" applyFont="1" applyFill="1" applyBorder="1" applyAlignment="1">
      <alignment horizontal="right"/>
    </xf>
    <xf numFmtId="165" fontId="2" fillId="9" borderId="3" xfId="2" applyNumberFormat="1" applyFont="1" applyFill="1" applyBorder="1"/>
    <xf numFmtId="164" fontId="2" fillId="10" borderId="2" xfId="1" applyNumberFormat="1" applyFont="1" applyFill="1" applyBorder="1" applyAlignment="1">
      <alignment horizontal="right"/>
    </xf>
    <xf numFmtId="164" fontId="2" fillId="10" borderId="2" xfId="1" applyNumberFormat="1" applyFont="1" applyFill="1" applyBorder="1"/>
    <xf numFmtId="3" fontId="2" fillId="10" borderId="2" xfId="0" applyNumberFormat="1" applyFont="1" applyFill="1" applyBorder="1"/>
    <xf numFmtId="165" fontId="5" fillId="10" borderId="2" xfId="2" applyNumberFormat="1" applyFont="1" applyFill="1" applyBorder="1" applyAlignment="1">
      <alignment horizontal="right"/>
    </xf>
    <xf numFmtId="164" fontId="1" fillId="10" borderId="2" xfId="1" applyNumberFormat="1" applyFont="1" applyFill="1" applyBorder="1"/>
    <xf numFmtId="3" fontId="1" fillId="10" borderId="2" xfId="0" applyNumberFormat="1" applyFont="1" applyFill="1" applyBorder="1"/>
    <xf numFmtId="165" fontId="1" fillId="10" borderId="3" xfId="2" applyNumberFormat="1" applyFont="1" applyFill="1" applyBorder="1"/>
    <xf numFmtId="165" fontId="1" fillId="0" borderId="8" xfId="2" applyNumberFormat="1" applyFont="1" applyBorder="1" applyAlignment="1">
      <alignment horizontal="center"/>
    </xf>
    <xf numFmtId="164" fontId="1" fillId="3" borderId="9" xfId="1" applyNumberFormat="1" applyFont="1" applyFill="1" applyBorder="1" applyAlignment="1">
      <alignment horizontal="center" wrapText="1"/>
    </xf>
    <xf numFmtId="3" fontId="1" fillId="0" borderId="7" xfId="0" applyNumberFormat="1" applyFont="1" applyBorder="1" applyAlignment="1">
      <alignment horizontal="center" wrapText="1"/>
    </xf>
    <xf numFmtId="165" fontId="1" fillId="0" borderId="10" xfId="2" applyNumberFormat="1" applyFont="1" applyBorder="1" applyAlignment="1">
      <alignment horizontal="center"/>
    </xf>
    <xf numFmtId="165" fontId="1" fillId="0" borderId="13" xfId="2" applyNumberFormat="1" applyFont="1" applyBorder="1"/>
    <xf numFmtId="164" fontId="1" fillId="0" borderId="14" xfId="1" applyNumberFormat="1" applyFont="1" applyBorder="1"/>
    <xf numFmtId="0" fontId="1" fillId="0" borderId="12" xfId="0" applyFont="1" applyBorder="1"/>
    <xf numFmtId="0" fontId="1" fillId="0" borderId="15" xfId="0" applyFont="1" applyBorder="1"/>
    <xf numFmtId="164" fontId="1" fillId="0" borderId="4" xfId="1" applyNumberFormat="1" applyFont="1" applyBorder="1"/>
    <xf numFmtId="164" fontId="1" fillId="0" borderId="17" xfId="0" applyNumberFormat="1" applyFont="1" applyBorder="1"/>
    <xf numFmtId="164" fontId="1" fillId="0" borderId="4" xfId="1" applyNumberFormat="1" applyFont="1" applyFill="1" applyBorder="1"/>
    <xf numFmtId="164" fontId="1" fillId="0" borderId="13" xfId="1" applyNumberFormat="1" applyFont="1" applyBorder="1"/>
    <xf numFmtId="165" fontId="5" fillId="3" borderId="3" xfId="2" applyNumberFormat="1" applyFont="1" applyFill="1" applyBorder="1" applyAlignment="1">
      <alignment horizontal="right"/>
    </xf>
    <xf numFmtId="164" fontId="5" fillId="3" borderId="18" xfId="1" applyNumberFormat="1" applyFont="1" applyFill="1" applyBorder="1" applyAlignment="1">
      <alignment horizontal="right"/>
    </xf>
    <xf numFmtId="165" fontId="5" fillId="3" borderId="18" xfId="2" applyNumberFormat="1" applyFont="1" applyFill="1" applyBorder="1" applyAlignment="1">
      <alignment horizontal="right"/>
    </xf>
    <xf numFmtId="164" fontId="1" fillId="0" borderId="0" xfId="0" applyNumberFormat="1" applyFont="1"/>
    <xf numFmtId="0" fontId="1" fillId="0" borderId="0" xfId="0" applyFont="1"/>
    <xf numFmtId="0" fontId="1" fillId="0" borderId="13" xfId="0" applyFont="1" applyBorder="1"/>
    <xf numFmtId="165" fontId="1" fillId="0" borderId="22" xfId="2" applyNumberFormat="1" applyFont="1" applyBorder="1"/>
    <xf numFmtId="164" fontId="1" fillId="0" borderId="19" xfId="1" applyNumberFormat="1" applyFont="1" applyBorder="1"/>
    <xf numFmtId="0" fontId="1" fillId="0" borderId="21" xfId="0" applyFont="1" applyBorder="1"/>
    <xf numFmtId="165" fontId="1" fillId="0" borderId="0" xfId="2" applyNumberFormat="1" applyFont="1"/>
    <xf numFmtId="164" fontId="1" fillId="0" borderId="0" xfId="1" applyNumberFormat="1" applyFont="1"/>
    <xf numFmtId="164" fontId="2" fillId="11" borderId="2" xfId="1" applyNumberFormat="1" applyFont="1" applyFill="1" applyBorder="1" applyAlignment="1">
      <alignment horizontal="right"/>
    </xf>
    <xf numFmtId="164" fontId="2" fillId="11" borderId="2" xfId="1" applyNumberFormat="1" applyFont="1" applyFill="1" applyBorder="1"/>
    <xf numFmtId="3" fontId="2" fillId="11" borderId="2" xfId="0" applyNumberFormat="1" applyFont="1" applyFill="1" applyBorder="1"/>
    <xf numFmtId="165" fontId="3" fillId="11" borderId="2" xfId="2" applyNumberFormat="1" applyFont="1" applyFill="1" applyBorder="1" applyAlignment="1">
      <alignment horizontal="right"/>
    </xf>
    <xf numFmtId="164" fontId="1" fillId="11" borderId="2" xfId="1" applyNumberFormat="1" applyFont="1" applyFill="1" applyBorder="1"/>
    <xf numFmtId="3" fontId="1" fillId="11" borderId="2" xfId="0" applyNumberFormat="1" applyFont="1" applyFill="1" applyBorder="1"/>
    <xf numFmtId="165" fontId="2" fillId="11" borderId="3" xfId="2" applyNumberFormat="1" applyFont="1" applyFill="1" applyBorder="1"/>
    <xf numFmtId="166" fontId="4" fillId="0" borderId="4" xfId="0" applyNumberFormat="1" applyFont="1" applyBorder="1" applyAlignment="1">
      <alignment horizontal="left"/>
    </xf>
    <xf numFmtId="166" fontId="4" fillId="0" borderId="4" xfId="0" applyNumberFormat="1" applyFont="1" applyBorder="1"/>
    <xf numFmtId="164" fontId="2" fillId="12" borderId="2" xfId="1" applyNumberFormat="1" applyFont="1" applyFill="1" applyBorder="1" applyAlignment="1">
      <alignment horizontal="right"/>
    </xf>
    <xf numFmtId="164" fontId="2" fillId="12" borderId="2" xfId="1" applyNumberFormat="1" applyFont="1" applyFill="1" applyBorder="1"/>
    <xf numFmtId="3" fontId="2" fillId="12" borderId="2" xfId="0" applyNumberFormat="1" applyFont="1" applyFill="1" applyBorder="1"/>
    <xf numFmtId="165" fontId="3" fillId="12" borderId="2" xfId="2" applyNumberFormat="1" applyFont="1" applyFill="1" applyBorder="1" applyAlignment="1">
      <alignment horizontal="right"/>
    </xf>
    <xf numFmtId="164" fontId="1" fillId="12" borderId="2" xfId="1" applyNumberFormat="1" applyFont="1" applyFill="1" applyBorder="1"/>
    <xf numFmtId="3" fontId="1" fillId="12" borderId="2" xfId="0" applyNumberFormat="1" applyFont="1" applyFill="1" applyBorder="1"/>
    <xf numFmtId="165" fontId="2" fillId="12" borderId="3" xfId="2" applyNumberFormat="1" applyFont="1" applyFill="1" applyBorder="1"/>
    <xf numFmtId="0" fontId="2" fillId="0" borderId="10" xfId="0" applyFont="1" applyBorder="1"/>
    <xf numFmtId="44" fontId="5" fillId="0" borderId="0" xfId="3" applyFont="1"/>
    <xf numFmtId="164" fontId="2" fillId="13" borderId="2" xfId="1" applyNumberFormat="1" applyFont="1" applyFill="1" applyBorder="1" applyAlignment="1">
      <alignment horizontal="right"/>
    </xf>
    <xf numFmtId="164" fontId="2" fillId="13" borderId="2" xfId="1" applyNumberFormat="1" applyFont="1" applyFill="1" applyBorder="1"/>
    <xf numFmtId="3" fontId="2" fillId="13" borderId="2" xfId="0" applyNumberFormat="1" applyFont="1" applyFill="1" applyBorder="1"/>
    <xf numFmtId="165" fontId="3" fillId="13" borderId="2" xfId="2" applyNumberFormat="1" applyFont="1" applyFill="1" applyBorder="1" applyAlignment="1">
      <alignment horizontal="right"/>
    </xf>
    <xf numFmtId="164" fontId="1" fillId="13" borderId="2" xfId="1" applyNumberFormat="1" applyFont="1" applyFill="1" applyBorder="1"/>
    <xf numFmtId="3" fontId="1" fillId="13" borderId="2" xfId="0" applyNumberFormat="1" applyFont="1" applyFill="1" applyBorder="1"/>
    <xf numFmtId="165" fontId="2" fillId="13" borderId="3" xfId="2" applyNumberFormat="1" applyFont="1" applyFill="1" applyBorder="1"/>
    <xf numFmtId="9" fontId="0" fillId="0" borderId="0" xfId="2" applyFont="1"/>
  </cellXfs>
  <cellStyles count="8">
    <cellStyle name="60% - Énfasis3" xfId="4" builtinId="40"/>
    <cellStyle name="Millares" xfId="1" builtinId="3"/>
    <cellStyle name="Moneda" xfId="3" builtinId="4"/>
    <cellStyle name="Moneda 2" xfId="6" xr:uid="{387AEE5A-A247-47C3-8FB5-42B91DC0C4CB}"/>
    <cellStyle name="Normal" xfId="0" builtinId="0"/>
    <cellStyle name="Normal 2" xfId="5" xr:uid="{2DE9003C-534A-40C4-A6F9-CFDC831CE9B5}"/>
    <cellStyle name="Normal 2 5" xfId="7" xr:uid="{0BF8412B-E879-4C03-B062-48084C8BD4D5}"/>
    <cellStyle name="Porcentaje" xfId="2" builtinId="5"/>
  </cellStyles>
  <dxfs count="0"/>
  <tableStyles count="0" defaultTableStyle="TableStyleMedium2" defaultPivotStyle="PivotStyleLight16"/>
  <colors>
    <mruColors>
      <color rgb="FFA32D98"/>
      <color rgb="FFFFE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1043-6277-4B6F-A511-C1F9748B7221}">
  <dimension ref="A2:Q66"/>
  <sheetViews>
    <sheetView topLeftCell="A21" workbookViewId="0">
      <pane xSplit="1" ySplit="4" topLeftCell="E44" activePane="bottomRight" state="frozen"/>
      <selection activeCell="A21" sqref="A21"/>
      <selection pane="topRight" activeCell="B21" sqref="B21"/>
      <selection pane="bottomLeft" activeCell="A25" sqref="A25"/>
      <selection pane="bottomRight" activeCell="A46" sqref="A46"/>
    </sheetView>
  </sheetViews>
  <sheetFormatPr baseColWidth="10" defaultRowHeight="14.4" x14ac:dyDescent="0.3"/>
  <cols>
    <col min="2" max="13" width="15" bestFit="1" customWidth="1"/>
    <col min="14" max="14" width="16.109375" bestFit="1" customWidth="1"/>
    <col min="15" max="15" width="15" bestFit="1" customWidth="1"/>
  </cols>
  <sheetData>
    <row r="2" spans="1:15" x14ac:dyDescent="0.3">
      <c r="A2" s="53" t="s">
        <v>28</v>
      </c>
    </row>
    <row r="3" spans="1:15" ht="15" thickBot="1" x14ac:dyDescent="0.35"/>
    <row r="4" spans="1:15" ht="15" thickBot="1" x14ac:dyDescent="0.35">
      <c r="A4" s="54"/>
      <c r="B4" s="55" t="s">
        <v>29</v>
      </c>
      <c r="C4" s="55" t="s">
        <v>30</v>
      </c>
      <c r="D4" s="55" t="s">
        <v>31</v>
      </c>
      <c r="E4" s="55" t="s">
        <v>32</v>
      </c>
      <c r="F4" s="55" t="s">
        <v>33</v>
      </c>
      <c r="G4" s="55" t="s">
        <v>34</v>
      </c>
      <c r="H4" s="55" t="s">
        <v>35</v>
      </c>
      <c r="I4" s="55" t="s">
        <v>36</v>
      </c>
      <c r="J4" s="55" t="s">
        <v>37</v>
      </c>
      <c r="K4" s="55" t="s">
        <v>38</v>
      </c>
      <c r="L4" s="55" t="s">
        <v>39</v>
      </c>
      <c r="M4" s="55" t="s">
        <v>40</v>
      </c>
      <c r="N4" s="55" t="s">
        <v>41</v>
      </c>
      <c r="O4" s="56" t="s">
        <v>42</v>
      </c>
    </row>
    <row r="5" spans="1:15" x14ac:dyDescent="0.3">
      <c r="A5" s="57" t="s">
        <v>8</v>
      </c>
      <c r="B5" s="58">
        <f>1275000*1.05</f>
        <v>1338750</v>
      </c>
      <c r="C5" s="58">
        <f t="shared" ref="C5:M5" si="0">1275000*1.05</f>
        <v>1338750</v>
      </c>
      <c r="D5" s="58">
        <f t="shared" si="0"/>
        <v>1338750</v>
      </c>
      <c r="E5" s="58">
        <f t="shared" si="0"/>
        <v>1338750</v>
      </c>
      <c r="F5" s="58">
        <f t="shared" si="0"/>
        <v>1338750</v>
      </c>
      <c r="G5" s="58">
        <f t="shared" si="0"/>
        <v>1338750</v>
      </c>
      <c r="H5" s="58">
        <f t="shared" si="0"/>
        <v>1338750</v>
      </c>
      <c r="I5" s="58">
        <f t="shared" si="0"/>
        <v>1338750</v>
      </c>
      <c r="J5" s="58">
        <f t="shared" si="0"/>
        <v>1338750</v>
      </c>
      <c r="K5" s="58">
        <f t="shared" si="0"/>
        <v>1338750</v>
      </c>
      <c r="L5" s="58">
        <f t="shared" si="0"/>
        <v>1338750</v>
      </c>
      <c r="M5" s="58">
        <f t="shared" si="0"/>
        <v>1338750</v>
      </c>
      <c r="N5" s="58">
        <f>SUM(B5:M5)</f>
        <v>16065000</v>
      </c>
      <c r="O5" s="59">
        <f>+N5/12</f>
        <v>1338750</v>
      </c>
    </row>
    <row r="6" spans="1:15" x14ac:dyDescent="0.3">
      <c r="A6" s="57" t="s">
        <v>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9"/>
    </row>
    <row r="7" spans="1:15" x14ac:dyDescent="0.3">
      <c r="A7" s="57" t="s">
        <v>10</v>
      </c>
      <c r="B7" s="58">
        <v>350000</v>
      </c>
      <c r="C7" s="58">
        <v>400000</v>
      </c>
      <c r="D7" s="58">
        <v>450000</v>
      </c>
      <c r="E7" s="58">
        <v>500000</v>
      </c>
      <c r="F7" s="58">
        <v>550000</v>
      </c>
      <c r="G7" s="58">
        <v>600000</v>
      </c>
      <c r="H7" s="58">
        <v>650000</v>
      </c>
      <c r="I7" s="58">
        <v>700000</v>
      </c>
      <c r="J7" s="58">
        <v>750000</v>
      </c>
      <c r="K7" s="58">
        <v>400000</v>
      </c>
      <c r="L7" s="58">
        <v>425000</v>
      </c>
      <c r="M7" s="58">
        <f t="shared" ref="M7" si="1">835000*1.05</f>
        <v>876750</v>
      </c>
      <c r="N7" s="58">
        <f>SUM(B7:M7)</f>
        <v>6651750</v>
      </c>
      <c r="O7" s="59">
        <f>+N7/12</f>
        <v>554312.5</v>
      </c>
    </row>
    <row r="8" spans="1:15" x14ac:dyDescent="0.3">
      <c r="A8" s="57" t="s">
        <v>11</v>
      </c>
      <c r="B8" s="58">
        <f>835000*1.05</f>
        <v>876750</v>
      </c>
      <c r="C8" s="58">
        <f t="shared" ref="C8:M10" si="2">835000*1.05</f>
        <v>876750</v>
      </c>
      <c r="D8" s="58">
        <f t="shared" si="2"/>
        <v>876750</v>
      </c>
      <c r="E8" s="58">
        <f t="shared" si="2"/>
        <v>876750</v>
      </c>
      <c r="F8" s="58">
        <f t="shared" si="2"/>
        <v>876750</v>
      </c>
      <c r="G8" s="58">
        <f t="shared" si="2"/>
        <v>876750</v>
      </c>
      <c r="H8" s="58">
        <f t="shared" si="2"/>
        <v>876750</v>
      </c>
      <c r="I8" s="58">
        <f t="shared" si="2"/>
        <v>876750</v>
      </c>
      <c r="J8" s="58">
        <f t="shared" si="2"/>
        <v>876750</v>
      </c>
      <c r="K8" s="58">
        <f t="shared" si="2"/>
        <v>876750</v>
      </c>
      <c r="L8" s="58">
        <f t="shared" si="2"/>
        <v>876750</v>
      </c>
      <c r="M8" s="58">
        <f t="shared" si="2"/>
        <v>876750</v>
      </c>
      <c r="N8" s="58">
        <f>SUM(B8:M8)</f>
        <v>10521000</v>
      </c>
      <c r="O8" s="59">
        <f>+N8/12</f>
        <v>876750</v>
      </c>
    </row>
    <row r="9" spans="1:15" x14ac:dyDescent="0.3">
      <c r="A9" s="57" t="s">
        <v>12</v>
      </c>
      <c r="B9" s="58">
        <v>100000</v>
      </c>
      <c r="C9" s="58">
        <v>150000</v>
      </c>
      <c r="D9" s="58">
        <v>200000</v>
      </c>
      <c r="E9" s="58">
        <v>250000</v>
      </c>
      <c r="F9" s="58">
        <v>300000</v>
      </c>
      <c r="G9" s="58">
        <v>350000</v>
      </c>
      <c r="H9" s="58">
        <v>400000</v>
      </c>
      <c r="I9" s="58">
        <v>450000</v>
      </c>
      <c r="J9" s="58">
        <v>500000</v>
      </c>
      <c r="K9" s="58">
        <v>550000</v>
      </c>
      <c r="L9" s="58">
        <v>600000</v>
      </c>
      <c r="M9" s="58">
        <v>650000</v>
      </c>
      <c r="N9" s="58">
        <f>SUM(B9:M9)</f>
        <v>4500000</v>
      </c>
      <c r="O9" s="59">
        <f>+N9/12</f>
        <v>375000</v>
      </c>
    </row>
    <row r="10" spans="1:15" x14ac:dyDescent="0.3">
      <c r="A10" s="57" t="s">
        <v>13</v>
      </c>
      <c r="B10" s="58">
        <v>500000</v>
      </c>
      <c r="C10" s="58">
        <v>550000</v>
      </c>
      <c r="D10" s="58">
        <v>600000</v>
      </c>
      <c r="E10" s="58">
        <v>650000</v>
      </c>
      <c r="F10" s="58">
        <v>700000</v>
      </c>
      <c r="G10" s="58">
        <v>750000</v>
      </c>
      <c r="H10" s="58">
        <v>800000</v>
      </c>
      <c r="I10" s="58">
        <v>850000</v>
      </c>
      <c r="J10" s="58">
        <f t="shared" si="2"/>
        <v>876750</v>
      </c>
      <c r="K10" s="58">
        <f t="shared" si="2"/>
        <v>876750</v>
      </c>
      <c r="L10" s="58">
        <f t="shared" si="2"/>
        <v>876750</v>
      </c>
      <c r="M10" s="58">
        <f t="shared" si="2"/>
        <v>876750</v>
      </c>
      <c r="N10" s="58">
        <f>SUM(B10:M10)</f>
        <v>8907000</v>
      </c>
      <c r="O10" s="59">
        <f>+N10/12</f>
        <v>742250</v>
      </c>
    </row>
    <row r="11" spans="1:15" x14ac:dyDescent="0.3">
      <c r="A11" s="57" t="s">
        <v>14</v>
      </c>
      <c r="B11" s="58">
        <f t="shared" ref="B11:M17" si="3">1275000*1.05</f>
        <v>1338750</v>
      </c>
      <c r="C11" s="58">
        <f t="shared" si="3"/>
        <v>1338750</v>
      </c>
      <c r="D11" s="58">
        <f t="shared" si="3"/>
        <v>1338750</v>
      </c>
      <c r="E11" s="58">
        <f t="shared" si="3"/>
        <v>1338750</v>
      </c>
      <c r="F11" s="58">
        <f t="shared" si="3"/>
        <v>1338750</v>
      </c>
      <c r="G11" s="58">
        <f t="shared" si="3"/>
        <v>1338750</v>
      </c>
      <c r="H11" s="58">
        <f t="shared" si="3"/>
        <v>1338750</v>
      </c>
      <c r="I11" s="58">
        <f t="shared" si="3"/>
        <v>1338750</v>
      </c>
      <c r="J11" s="58">
        <f t="shared" si="3"/>
        <v>1338750</v>
      </c>
      <c r="K11" s="58">
        <f t="shared" si="3"/>
        <v>1338750</v>
      </c>
      <c r="L11" s="58">
        <f t="shared" si="3"/>
        <v>1338750</v>
      </c>
      <c r="M11" s="58">
        <f t="shared" si="3"/>
        <v>1338750</v>
      </c>
      <c r="N11" s="58">
        <f>SUM(B11:M11)</f>
        <v>16065000</v>
      </c>
      <c r="O11" s="59">
        <f>+N11/12</f>
        <v>1338750</v>
      </c>
    </row>
    <row r="12" spans="1:15" x14ac:dyDescent="0.3">
      <c r="A12" s="57" t="s">
        <v>15</v>
      </c>
      <c r="B12" s="58">
        <f t="shared" si="3"/>
        <v>1338750</v>
      </c>
      <c r="C12" s="58">
        <f t="shared" si="3"/>
        <v>1338750</v>
      </c>
      <c r="D12" s="58">
        <f t="shared" si="3"/>
        <v>1338750</v>
      </c>
      <c r="E12" s="58">
        <f t="shared" si="3"/>
        <v>1338750</v>
      </c>
      <c r="F12" s="58">
        <f t="shared" si="3"/>
        <v>1338750</v>
      </c>
      <c r="G12" s="58">
        <f t="shared" si="3"/>
        <v>1338750</v>
      </c>
      <c r="H12" s="58">
        <f t="shared" si="3"/>
        <v>1338750</v>
      </c>
      <c r="I12" s="58">
        <f t="shared" si="3"/>
        <v>1338750</v>
      </c>
      <c r="J12" s="58">
        <f t="shared" si="3"/>
        <v>1338750</v>
      </c>
      <c r="K12" s="58">
        <f t="shared" si="3"/>
        <v>1338750</v>
      </c>
      <c r="L12" s="58">
        <f t="shared" si="3"/>
        <v>1338750</v>
      </c>
      <c r="M12" s="58">
        <f t="shared" si="3"/>
        <v>1338750</v>
      </c>
      <c r="N12" s="58">
        <f t="shared" ref="N12:N18" si="4">SUM(B12:M12)</f>
        <v>16065000</v>
      </c>
      <c r="O12" s="59">
        <f t="shared" ref="O12:O18" si="5">+N12/12</f>
        <v>1338750</v>
      </c>
    </row>
    <row r="13" spans="1:15" x14ac:dyDescent="0.3">
      <c r="A13" s="57" t="s">
        <v>43</v>
      </c>
      <c r="B13" s="58">
        <f t="shared" si="3"/>
        <v>1338750</v>
      </c>
      <c r="C13" s="58">
        <f t="shared" si="3"/>
        <v>1338750</v>
      </c>
      <c r="D13" s="58">
        <f t="shared" si="3"/>
        <v>1338750</v>
      </c>
      <c r="E13" s="58">
        <f t="shared" si="3"/>
        <v>1338750</v>
      </c>
      <c r="F13" s="58">
        <f t="shared" si="3"/>
        <v>1338750</v>
      </c>
      <c r="G13" s="58">
        <f t="shared" si="3"/>
        <v>1338750</v>
      </c>
      <c r="H13" s="58">
        <f t="shared" si="3"/>
        <v>1338750</v>
      </c>
      <c r="I13" s="58">
        <f t="shared" si="3"/>
        <v>1338750</v>
      </c>
      <c r="J13" s="58">
        <f t="shared" si="3"/>
        <v>1338750</v>
      </c>
      <c r="K13" s="58">
        <f t="shared" si="3"/>
        <v>1338750</v>
      </c>
      <c r="L13" s="58">
        <f t="shared" si="3"/>
        <v>1338750</v>
      </c>
      <c r="M13" s="58">
        <f t="shared" si="3"/>
        <v>1338750</v>
      </c>
      <c r="N13" s="58">
        <f t="shared" si="4"/>
        <v>16065000</v>
      </c>
      <c r="O13" s="59">
        <f t="shared" si="5"/>
        <v>1338750</v>
      </c>
    </row>
    <row r="14" spans="1:15" x14ac:dyDescent="0.3">
      <c r="A14" s="57" t="s">
        <v>44</v>
      </c>
      <c r="B14" s="58">
        <f t="shared" si="3"/>
        <v>1338750</v>
      </c>
      <c r="C14" s="58">
        <f t="shared" si="3"/>
        <v>1338750</v>
      </c>
      <c r="D14" s="58">
        <f t="shared" si="3"/>
        <v>1338750</v>
      </c>
      <c r="E14" s="58">
        <f t="shared" si="3"/>
        <v>1338750</v>
      </c>
      <c r="F14" s="58">
        <f t="shared" si="3"/>
        <v>1338750</v>
      </c>
      <c r="G14" s="58">
        <f t="shared" si="3"/>
        <v>1338750</v>
      </c>
      <c r="H14" s="58">
        <f t="shared" si="3"/>
        <v>1338750</v>
      </c>
      <c r="I14" s="58">
        <f t="shared" si="3"/>
        <v>1338750</v>
      </c>
      <c r="J14" s="58">
        <f t="shared" si="3"/>
        <v>1338750</v>
      </c>
      <c r="K14" s="58">
        <f t="shared" si="3"/>
        <v>1338750</v>
      </c>
      <c r="L14" s="58">
        <f t="shared" si="3"/>
        <v>1338750</v>
      </c>
      <c r="M14" s="58">
        <f t="shared" si="3"/>
        <v>1338750</v>
      </c>
      <c r="N14" s="58">
        <f t="shared" si="4"/>
        <v>16065000</v>
      </c>
      <c r="O14" s="59">
        <f t="shared" si="5"/>
        <v>1338750</v>
      </c>
    </row>
    <row r="15" spans="1:15" x14ac:dyDescent="0.3">
      <c r="A15" s="60" t="s">
        <v>19</v>
      </c>
      <c r="B15" s="58">
        <v>400000</v>
      </c>
      <c r="C15" s="58">
        <v>450000</v>
      </c>
      <c r="D15" s="58">
        <v>500000</v>
      </c>
      <c r="E15" s="58">
        <v>550000</v>
      </c>
      <c r="F15" s="58">
        <v>600000</v>
      </c>
      <c r="G15" s="58">
        <v>650000</v>
      </c>
      <c r="H15" s="58">
        <v>700000</v>
      </c>
      <c r="I15" s="58">
        <v>750000</v>
      </c>
      <c r="J15" s="58">
        <v>800000</v>
      </c>
      <c r="K15" s="58">
        <v>850000</v>
      </c>
      <c r="L15" s="58">
        <f t="shared" ref="L15:M15" si="6">835000*1.05</f>
        <v>876750</v>
      </c>
      <c r="M15" s="58">
        <f t="shared" si="6"/>
        <v>876750</v>
      </c>
      <c r="N15" s="58">
        <f t="shared" si="4"/>
        <v>8003500</v>
      </c>
      <c r="O15" s="59">
        <f t="shared" si="5"/>
        <v>666958.33333333337</v>
      </c>
    </row>
    <row r="16" spans="1:15" x14ac:dyDescent="0.3">
      <c r="A16" s="60" t="s">
        <v>20</v>
      </c>
      <c r="B16" s="58">
        <f t="shared" si="3"/>
        <v>1338750</v>
      </c>
      <c r="C16" s="58">
        <f t="shared" si="3"/>
        <v>1338750</v>
      </c>
      <c r="D16" s="58">
        <f t="shared" si="3"/>
        <v>1338750</v>
      </c>
      <c r="E16" s="58">
        <f t="shared" si="3"/>
        <v>1338750</v>
      </c>
      <c r="F16" s="58">
        <f t="shared" si="3"/>
        <v>1338750</v>
      </c>
      <c r="G16" s="58">
        <f t="shared" si="3"/>
        <v>1338750</v>
      </c>
      <c r="H16" s="58">
        <f t="shared" si="3"/>
        <v>1338750</v>
      </c>
      <c r="I16" s="58">
        <f t="shared" si="3"/>
        <v>1338750</v>
      </c>
      <c r="J16" s="58">
        <f t="shared" si="3"/>
        <v>1338750</v>
      </c>
      <c r="K16" s="58">
        <f t="shared" si="3"/>
        <v>1338750</v>
      </c>
      <c r="L16" s="58">
        <f t="shared" si="3"/>
        <v>1338750</v>
      </c>
      <c r="M16" s="58">
        <f t="shared" si="3"/>
        <v>1338750</v>
      </c>
      <c r="N16" s="61">
        <f t="shared" si="4"/>
        <v>16065000</v>
      </c>
      <c r="O16" s="62">
        <f t="shared" si="5"/>
        <v>1338750</v>
      </c>
    </row>
    <row r="17" spans="1:15" x14ac:dyDescent="0.3">
      <c r="A17" s="57" t="s">
        <v>21</v>
      </c>
      <c r="B17" s="58">
        <f t="shared" si="3"/>
        <v>1338750</v>
      </c>
      <c r="C17" s="58">
        <f t="shared" si="3"/>
        <v>1338750</v>
      </c>
      <c r="D17" s="58">
        <f t="shared" si="3"/>
        <v>1338750</v>
      </c>
      <c r="E17" s="58">
        <f t="shared" si="3"/>
        <v>1338750</v>
      </c>
      <c r="F17" s="58">
        <f t="shared" si="3"/>
        <v>1338750</v>
      </c>
      <c r="G17" s="58">
        <f t="shared" si="3"/>
        <v>1338750</v>
      </c>
      <c r="H17" s="58">
        <f t="shared" si="3"/>
        <v>1338750</v>
      </c>
      <c r="I17" s="58">
        <f t="shared" si="3"/>
        <v>1338750</v>
      </c>
      <c r="J17" s="58">
        <f t="shared" si="3"/>
        <v>1338750</v>
      </c>
      <c r="K17" s="58">
        <f t="shared" si="3"/>
        <v>1338750</v>
      </c>
      <c r="L17" s="58">
        <f t="shared" si="3"/>
        <v>1338750</v>
      </c>
      <c r="M17" s="58">
        <f t="shared" si="3"/>
        <v>1338750</v>
      </c>
      <c r="N17" s="58">
        <f t="shared" si="4"/>
        <v>16065000</v>
      </c>
      <c r="O17" s="59">
        <f t="shared" si="5"/>
        <v>1338750</v>
      </c>
    </row>
    <row r="18" spans="1:15" x14ac:dyDescent="0.3">
      <c r="A18" s="57" t="s">
        <v>22</v>
      </c>
      <c r="B18" s="58">
        <v>500000</v>
      </c>
      <c r="C18" s="58">
        <v>550000</v>
      </c>
      <c r="D18" s="58">
        <v>600000</v>
      </c>
      <c r="E18" s="58">
        <v>650000</v>
      </c>
      <c r="F18" s="58">
        <v>700000</v>
      </c>
      <c r="G18" s="58">
        <v>750000</v>
      </c>
      <c r="H18" s="58">
        <v>800000</v>
      </c>
      <c r="I18" s="58">
        <v>850000</v>
      </c>
      <c r="J18" s="58">
        <f t="shared" ref="J18:M18" si="7">835000*1.05</f>
        <v>876750</v>
      </c>
      <c r="K18" s="58">
        <f t="shared" si="7"/>
        <v>876750</v>
      </c>
      <c r="L18" s="58">
        <f t="shared" si="7"/>
        <v>876750</v>
      </c>
      <c r="M18" s="58">
        <f t="shared" si="7"/>
        <v>876750</v>
      </c>
      <c r="N18" s="58">
        <f t="shared" si="4"/>
        <v>8907000</v>
      </c>
      <c r="O18" s="59">
        <f t="shared" si="5"/>
        <v>742250</v>
      </c>
    </row>
    <row r="19" spans="1:15" x14ac:dyDescent="0.3">
      <c r="A19" s="57" t="s">
        <v>45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</row>
    <row r="20" spans="1:15" x14ac:dyDescent="0.3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</row>
    <row r="21" spans="1:15" ht="15" thickBot="1" x14ac:dyDescent="0.35">
      <c r="A21" s="63" t="s">
        <v>23</v>
      </c>
      <c r="B21" s="64">
        <f t="shared" ref="B21:O21" si="8">SUM(B5:B19)</f>
        <v>12098000</v>
      </c>
      <c r="C21" s="64">
        <f t="shared" si="8"/>
        <v>12348000</v>
      </c>
      <c r="D21" s="64">
        <f t="shared" si="8"/>
        <v>12598000</v>
      </c>
      <c r="E21" s="64">
        <f t="shared" si="8"/>
        <v>12848000</v>
      </c>
      <c r="F21" s="64">
        <f t="shared" si="8"/>
        <v>13098000</v>
      </c>
      <c r="G21" s="64">
        <f t="shared" si="8"/>
        <v>13348000</v>
      </c>
      <c r="H21" s="64">
        <f t="shared" si="8"/>
        <v>13598000</v>
      </c>
      <c r="I21" s="64">
        <f t="shared" si="8"/>
        <v>13848000</v>
      </c>
      <c r="J21" s="64">
        <f t="shared" si="8"/>
        <v>14051500</v>
      </c>
      <c r="K21" s="64">
        <f t="shared" si="8"/>
        <v>13801500</v>
      </c>
      <c r="L21" s="64">
        <f t="shared" si="8"/>
        <v>13903250</v>
      </c>
      <c r="M21" s="64">
        <f t="shared" si="8"/>
        <v>14405000</v>
      </c>
      <c r="N21" s="64">
        <f t="shared" si="8"/>
        <v>159945250</v>
      </c>
      <c r="O21" s="64">
        <f t="shared" si="8"/>
        <v>13328770.833333334</v>
      </c>
    </row>
    <row r="23" spans="1:15" x14ac:dyDescent="0.3">
      <c r="N23" s="65">
        <v>142495000</v>
      </c>
    </row>
    <row r="24" spans="1:15" x14ac:dyDescent="0.3">
      <c r="A24" s="53" t="s">
        <v>50</v>
      </c>
    </row>
    <row r="25" spans="1:15" ht="15" thickBot="1" x14ac:dyDescent="0.35"/>
    <row r="26" spans="1:15" ht="15" thickBot="1" x14ac:dyDescent="0.35">
      <c r="A26" s="54"/>
      <c r="B26" s="55" t="s">
        <v>29</v>
      </c>
      <c r="C26" s="55" t="s">
        <v>30</v>
      </c>
      <c r="D26" s="55" t="s">
        <v>31</v>
      </c>
      <c r="E26" s="55" t="s">
        <v>32</v>
      </c>
      <c r="F26" s="55" t="s">
        <v>33</v>
      </c>
      <c r="G26" s="55" t="s">
        <v>34</v>
      </c>
      <c r="H26" s="55" t="s">
        <v>35</v>
      </c>
      <c r="I26" s="55" t="s">
        <v>36</v>
      </c>
      <c r="J26" s="55" t="s">
        <v>37</v>
      </c>
      <c r="K26" s="55" t="s">
        <v>38</v>
      </c>
      <c r="L26" s="55" t="s">
        <v>39</v>
      </c>
      <c r="M26" s="55" t="s">
        <v>40</v>
      </c>
      <c r="N26" s="55" t="s">
        <v>41</v>
      </c>
      <c r="O26" s="56" t="s">
        <v>42</v>
      </c>
    </row>
    <row r="27" spans="1:15" x14ac:dyDescent="0.3">
      <c r="A27" s="57" t="s">
        <v>8</v>
      </c>
      <c r="B27" s="58">
        <f>1275000*1.05</f>
        <v>1338750</v>
      </c>
      <c r="C27" s="58">
        <f t="shared" ref="C27:M27" si="9">1275000*1.05</f>
        <v>1338750</v>
      </c>
      <c r="D27" s="58">
        <f t="shared" si="9"/>
        <v>1338750</v>
      </c>
      <c r="E27" s="58">
        <f t="shared" si="9"/>
        <v>1338750</v>
      </c>
      <c r="F27" s="58">
        <f t="shared" si="9"/>
        <v>1338750</v>
      </c>
      <c r="G27" s="58">
        <f t="shared" si="9"/>
        <v>1338750</v>
      </c>
      <c r="H27" s="58">
        <f t="shared" si="9"/>
        <v>1338750</v>
      </c>
      <c r="I27" s="58">
        <f t="shared" si="9"/>
        <v>1338750</v>
      </c>
      <c r="J27" s="58">
        <f t="shared" si="9"/>
        <v>1338750</v>
      </c>
      <c r="K27" s="58">
        <f t="shared" si="9"/>
        <v>1338750</v>
      </c>
      <c r="L27" s="58">
        <f t="shared" si="9"/>
        <v>1338750</v>
      </c>
      <c r="M27" s="58">
        <f t="shared" si="9"/>
        <v>1338750</v>
      </c>
      <c r="N27" s="58">
        <f>SUM(B27:M27)</f>
        <v>16065000</v>
      </c>
      <c r="O27" s="59">
        <f>+N27/12</f>
        <v>1338750</v>
      </c>
    </row>
    <row r="28" spans="1:15" x14ac:dyDescent="0.3">
      <c r="A28" s="57" t="s">
        <v>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</row>
    <row r="29" spans="1:15" x14ac:dyDescent="0.3">
      <c r="A29" s="57" t="s">
        <v>10</v>
      </c>
      <c r="B29" s="58">
        <v>350000</v>
      </c>
      <c r="C29" s="58">
        <v>400000</v>
      </c>
      <c r="D29" s="58">
        <v>450000</v>
      </c>
      <c r="E29" s="58">
        <v>500000</v>
      </c>
      <c r="F29" s="58">
        <v>550000</v>
      </c>
      <c r="G29" s="58">
        <v>600000</v>
      </c>
      <c r="H29" s="58">
        <v>650000</v>
      </c>
      <c r="I29" s="58">
        <v>700000</v>
      </c>
      <c r="J29" s="58">
        <v>750000</v>
      </c>
      <c r="K29" s="58">
        <v>400000</v>
      </c>
      <c r="L29" s="58">
        <v>425000</v>
      </c>
      <c r="M29" s="58">
        <f t="shared" ref="M29" si="10">835000*1.05</f>
        <v>876750</v>
      </c>
      <c r="N29" s="58">
        <f>SUM(B29:M29)</f>
        <v>6651750</v>
      </c>
      <c r="O29" s="59">
        <f>+N29/12</f>
        <v>554312.5</v>
      </c>
    </row>
    <row r="30" spans="1:15" x14ac:dyDescent="0.3">
      <c r="A30" s="57" t="s">
        <v>11</v>
      </c>
      <c r="B30" s="58">
        <f>835000*1.05</f>
        <v>876750</v>
      </c>
      <c r="C30" s="58">
        <f t="shared" ref="C30:M32" si="11">835000*1.05</f>
        <v>876750</v>
      </c>
      <c r="D30" s="58">
        <f t="shared" si="11"/>
        <v>876750</v>
      </c>
      <c r="E30" s="58">
        <f t="shared" si="11"/>
        <v>876750</v>
      </c>
      <c r="F30" s="58">
        <f t="shared" si="11"/>
        <v>876750</v>
      </c>
      <c r="G30" s="58">
        <f t="shared" si="11"/>
        <v>876750</v>
      </c>
      <c r="H30" s="58">
        <f t="shared" si="11"/>
        <v>876750</v>
      </c>
      <c r="I30" s="58">
        <f t="shared" si="11"/>
        <v>876750</v>
      </c>
      <c r="J30" s="58">
        <f t="shared" si="11"/>
        <v>876750</v>
      </c>
      <c r="K30" s="58">
        <f t="shared" si="11"/>
        <v>876750</v>
      </c>
      <c r="L30" s="58">
        <f t="shared" si="11"/>
        <v>876750</v>
      </c>
      <c r="M30" s="58">
        <f t="shared" si="11"/>
        <v>876750</v>
      </c>
      <c r="N30" s="58">
        <f>SUM(B30:M30)</f>
        <v>10521000</v>
      </c>
      <c r="O30" s="59">
        <f>+N30/12</f>
        <v>876750</v>
      </c>
    </row>
    <row r="31" spans="1:15" x14ac:dyDescent="0.3">
      <c r="A31" s="57" t="s">
        <v>12</v>
      </c>
      <c r="B31" s="58">
        <v>100000</v>
      </c>
      <c r="C31" s="58">
        <v>150000</v>
      </c>
      <c r="D31" s="58">
        <v>200000</v>
      </c>
      <c r="E31" s="58">
        <v>250000</v>
      </c>
      <c r="F31" s="58">
        <v>300000</v>
      </c>
      <c r="G31" s="58">
        <v>350000</v>
      </c>
      <c r="H31" s="58">
        <v>400000</v>
      </c>
      <c r="I31" s="58">
        <v>450000</v>
      </c>
      <c r="J31" s="58">
        <v>500000</v>
      </c>
      <c r="K31" s="58">
        <v>550000</v>
      </c>
      <c r="L31" s="58">
        <v>600000</v>
      </c>
      <c r="M31" s="58">
        <v>650000</v>
      </c>
      <c r="N31" s="58">
        <f>SUM(B31:M31)</f>
        <v>4500000</v>
      </c>
      <c r="O31" s="59">
        <f>+N31/12</f>
        <v>375000</v>
      </c>
    </row>
    <row r="32" spans="1:15" x14ac:dyDescent="0.3">
      <c r="A32" s="57" t="s">
        <v>13</v>
      </c>
      <c r="B32" s="58">
        <v>500000</v>
      </c>
      <c r="C32" s="58">
        <v>550000</v>
      </c>
      <c r="D32" s="58">
        <v>600000</v>
      </c>
      <c r="E32" s="58">
        <v>650000</v>
      </c>
      <c r="F32" s="58">
        <v>700000</v>
      </c>
      <c r="G32" s="58">
        <v>750000</v>
      </c>
      <c r="H32" s="58">
        <v>800000</v>
      </c>
      <c r="I32" s="58">
        <v>850000</v>
      </c>
      <c r="J32" s="58">
        <f t="shared" si="11"/>
        <v>876750</v>
      </c>
      <c r="K32" s="58">
        <f t="shared" si="11"/>
        <v>876750</v>
      </c>
      <c r="L32" s="58">
        <f t="shared" si="11"/>
        <v>876750</v>
      </c>
      <c r="M32" s="58">
        <f t="shared" si="11"/>
        <v>876750</v>
      </c>
      <c r="N32" s="58">
        <f>SUM(B32:M32)</f>
        <v>8907000</v>
      </c>
      <c r="O32" s="59">
        <f>+N32/12</f>
        <v>742250</v>
      </c>
    </row>
    <row r="33" spans="1:15" x14ac:dyDescent="0.3">
      <c r="A33" s="57" t="s">
        <v>14</v>
      </c>
      <c r="B33" s="58">
        <f t="shared" ref="B33:M39" si="12">1275000*1.05</f>
        <v>1338750</v>
      </c>
      <c r="C33" s="58">
        <f t="shared" si="12"/>
        <v>1338750</v>
      </c>
      <c r="D33" s="58">
        <f t="shared" si="12"/>
        <v>1338750</v>
      </c>
      <c r="E33" s="58">
        <f t="shared" si="12"/>
        <v>1338750</v>
      </c>
      <c r="F33" s="58">
        <f t="shared" si="12"/>
        <v>1338750</v>
      </c>
      <c r="G33" s="58">
        <f t="shared" si="12"/>
        <v>1338750</v>
      </c>
      <c r="H33" s="58">
        <f t="shared" si="12"/>
        <v>1338750</v>
      </c>
      <c r="I33" s="58">
        <f t="shared" si="12"/>
        <v>1338750</v>
      </c>
      <c r="J33" s="58">
        <f t="shared" si="12"/>
        <v>1338750</v>
      </c>
      <c r="K33" s="58">
        <f t="shared" si="12"/>
        <v>1338750</v>
      </c>
      <c r="L33" s="58">
        <f t="shared" si="12"/>
        <v>1338750</v>
      </c>
      <c r="M33" s="58">
        <f t="shared" si="12"/>
        <v>1338750</v>
      </c>
      <c r="N33" s="58">
        <f>SUM(B33:M33)</f>
        <v>16065000</v>
      </c>
      <c r="O33" s="59">
        <f>+N33/12</f>
        <v>1338750</v>
      </c>
    </row>
    <row r="34" spans="1:15" x14ac:dyDescent="0.3">
      <c r="A34" s="57" t="s">
        <v>15</v>
      </c>
      <c r="B34" s="58">
        <f t="shared" si="12"/>
        <v>1338750</v>
      </c>
      <c r="C34" s="58">
        <f t="shared" si="12"/>
        <v>1338750</v>
      </c>
      <c r="D34" s="58">
        <f t="shared" si="12"/>
        <v>1338750</v>
      </c>
      <c r="E34" s="58">
        <f t="shared" si="12"/>
        <v>1338750</v>
      </c>
      <c r="F34" s="58">
        <f t="shared" si="12"/>
        <v>1338750</v>
      </c>
      <c r="G34" s="58">
        <f t="shared" si="12"/>
        <v>1338750</v>
      </c>
      <c r="H34" s="58">
        <f t="shared" si="12"/>
        <v>1338750</v>
      </c>
      <c r="I34" s="58">
        <f t="shared" si="12"/>
        <v>1338750</v>
      </c>
      <c r="J34" s="58">
        <f t="shared" si="12"/>
        <v>1338750</v>
      </c>
      <c r="K34" s="58">
        <f t="shared" si="12"/>
        <v>1338750</v>
      </c>
      <c r="L34" s="58">
        <f t="shared" si="12"/>
        <v>1338750</v>
      </c>
      <c r="M34" s="58">
        <f t="shared" si="12"/>
        <v>1338750</v>
      </c>
      <c r="N34" s="58">
        <f t="shared" ref="N34:N40" si="13">SUM(B34:M34)</f>
        <v>16065000</v>
      </c>
      <c r="O34" s="59">
        <f t="shared" ref="O34:O40" si="14">+N34/12</f>
        <v>1338750</v>
      </c>
    </row>
    <row r="35" spans="1:15" x14ac:dyDescent="0.3">
      <c r="A35" s="57" t="s">
        <v>43</v>
      </c>
      <c r="B35" s="58">
        <f t="shared" si="12"/>
        <v>1338750</v>
      </c>
      <c r="C35" s="58">
        <f t="shared" si="12"/>
        <v>1338750</v>
      </c>
      <c r="D35" s="58">
        <f t="shared" si="12"/>
        <v>1338750</v>
      </c>
      <c r="E35" s="58">
        <f t="shared" si="12"/>
        <v>1338750</v>
      </c>
      <c r="F35" s="58">
        <f t="shared" si="12"/>
        <v>1338750</v>
      </c>
      <c r="G35" s="58">
        <f t="shared" si="12"/>
        <v>1338750</v>
      </c>
      <c r="H35" s="58">
        <f t="shared" si="12"/>
        <v>1338750</v>
      </c>
      <c r="I35" s="58">
        <f t="shared" si="12"/>
        <v>1338750</v>
      </c>
      <c r="J35" s="58">
        <f t="shared" si="12"/>
        <v>1338750</v>
      </c>
      <c r="K35" s="58">
        <f t="shared" si="12"/>
        <v>1338750</v>
      </c>
      <c r="L35" s="58">
        <f t="shared" si="12"/>
        <v>1338750</v>
      </c>
      <c r="M35" s="58">
        <f t="shared" si="12"/>
        <v>1338750</v>
      </c>
      <c r="N35" s="58">
        <f t="shared" si="13"/>
        <v>16065000</v>
      </c>
      <c r="O35" s="59">
        <f t="shared" si="14"/>
        <v>1338750</v>
      </c>
    </row>
    <row r="36" spans="1:15" x14ac:dyDescent="0.3">
      <c r="A36" s="57" t="s">
        <v>44</v>
      </c>
      <c r="B36" s="58">
        <f t="shared" si="12"/>
        <v>1338750</v>
      </c>
      <c r="C36" s="58">
        <f t="shared" si="12"/>
        <v>1338750</v>
      </c>
      <c r="D36" s="58">
        <f t="shared" si="12"/>
        <v>1338750</v>
      </c>
      <c r="E36" s="58">
        <f t="shared" si="12"/>
        <v>1338750</v>
      </c>
      <c r="F36" s="58">
        <f t="shared" si="12"/>
        <v>1338750</v>
      </c>
      <c r="G36" s="58">
        <f t="shared" si="12"/>
        <v>1338750</v>
      </c>
      <c r="H36" s="58">
        <f t="shared" si="12"/>
        <v>1338750</v>
      </c>
      <c r="I36" s="58">
        <f t="shared" si="12"/>
        <v>1338750</v>
      </c>
      <c r="J36" s="58">
        <f t="shared" si="12"/>
        <v>1338750</v>
      </c>
      <c r="K36" s="58">
        <f t="shared" si="12"/>
        <v>1338750</v>
      </c>
      <c r="L36" s="58">
        <f t="shared" si="12"/>
        <v>1338750</v>
      </c>
      <c r="M36" s="58">
        <f t="shared" si="12"/>
        <v>1338750</v>
      </c>
      <c r="N36" s="58">
        <f t="shared" si="13"/>
        <v>16065000</v>
      </c>
      <c r="O36" s="59">
        <f t="shared" si="14"/>
        <v>1338750</v>
      </c>
    </row>
    <row r="37" spans="1:15" x14ac:dyDescent="0.3">
      <c r="A37" s="60" t="s">
        <v>19</v>
      </c>
      <c r="B37" s="58">
        <v>400000</v>
      </c>
      <c r="C37" s="58">
        <v>450000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>
        <f t="shared" si="13"/>
        <v>850000</v>
      </c>
      <c r="O37" s="59">
        <f t="shared" si="14"/>
        <v>70833.333333333328</v>
      </c>
    </row>
    <row r="38" spans="1:15" x14ac:dyDescent="0.3">
      <c r="A38" s="60" t="s">
        <v>20</v>
      </c>
      <c r="B38" s="58">
        <f t="shared" si="12"/>
        <v>1338750</v>
      </c>
      <c r="C38" s="58">
        <f t="shared" si="12"/>
        <v>1338750</v>
      </c>
      <c r="D38" s="58">
        <f t="shared" si="12"/>
        <v>1338750</v>
      </c>
      <c r="E38" s="58">
        <f t="shared" si="12"/>
        <v>1338750</v>
      </c>
      <c r="F38" s="58">
        <f t="shared" si="12"/>
        <v>1338750</v>
      </c>
      <c r="G38" s="58">
        <f t="shared" si="12"/>
        <v>1338750</v>
      </c>
      <c r="H38" s="58">
        <f t="shared" si="12"/>
        <v>1338750</v>
      </c>
      <c r="I38" s="58">
        <f t="shared" si="12"/>
        <v>1338750</v>
      </c>
      <c r="J38" s="58">
        <f t="shared" si="12"/>
        <v>1338750</v>
      </c>
      <c r="K38" s="58">
        <f t="shared" si="12"/>
        <v>1338750</v>
      </c>
      <c r="L38" s="58">
        <f t="shared" si="12"/>
        <v>1338750</v>
      </c>
      <c r="M38" s="58">
        <f t="shared" si="12"/>
        <v>1338750</v>
      </c>
      <c r="N38" s="61">
        <f t="shared" si="13"/>
        <v>16065000</v>
      </c>
      <c r="O38" s="62">
        <f t="shared" si="14"/>
        <v>1338750</v>
      </c>
    </row>
    <row r="39" spans="1:15" x14ac:dyDescent="0.3">
      <c r="A39" s="57" t="s">
        <v>21</v>
      </c>
      <c r="B39" s="58">
        <f t="shared" si="12"/>
        <v>1338750</v>
      </c>
      <c r="C39" s="58">
        <f t="shared" si="12"/>
        <v>1338750</v>
      </c>
      <c r="D39" s="58">
        <f t="shared" si="12"/>
        <v>1338750</v>
      </c>
      <c r="E39" s="58">
        <f t="shared" si="12"/>
        <v>1338750</v>
      </c>
      <c r="F39" s="58">
        <f t="shared" si="12"/>
        <v>1338750</v>
      </c>
      <c r="G39" s="58">
        <f t="shared" si="12"/>
        <v>1338750</v>
      </c>
      <c r="H39" s="58">
        <f t="shared" si="12"/>
        <v>1338750</v>
      </c>
      <c r="I39" s="58">
        <f t="shared" si="12"/>
        <v>1338750</v>
      </c>
      <c r="J39" s="58">
        <f t="shared" si="12"/>
        <v>1338750</v>
      </c>
      <c r="K39" s="58">
        <f t="shared" si="12"/>
        <v>1338750</v>
      </c>
      <c r="L39" s="58">
        <f t="shared" si="12"/>
        <v>1338750</v>
      </c>
      <c r="M39" s="58">
        <f t="shared" si="12"/>
        <v>1338750</v>
      </c>
      <c r="N39" s="58">
        <f t="shared" si="13"/>
        <v>16065000</v>
      </c>
      <c r="O39" s="59">
        <f t="shared" si="14"/>
        <v>1338750</v>
      </c>
    </row>
    <row r="40" spans="1:15" x14ac:dyDescent="0.3">
      <c r="A40" s="57" t="s">
        <v>22</v>
      </c>
      <c r="B40" s="58">
        <v>500000</v>
      </c>
      <c r="C40" s="58">
        <v>550000</v>
      </c>
      <c r="D40" s="58">
        <v>600000</v>
      </c>
      <c r="E40" s="58">
        <v>650000</v>
      </c>
      <c r="F40" s="58">
        <v>700000</v>
      </c>
      <c r="G40" s="58">
        <v>750000</v>
      </c>
      <c r="H40" s="58">
        <v>800000</v>
      </c>
      <c r="I40" s="58">
        <v>850000</v>
      </c>
      <c r="J40" s="58">
        <f t="shared" ref="J40:M40" si="15">835000*1.05</f>
        <v>876750</v>
      </c>
      <c r="K40" s="58">
        <f t="shared" si="15"/>
        <v>876750</v>
      </c>
      <c r="L40" s="58">
        <f t="shared" si="15"/>
        <v>876750</v>
      </c>
      <c r="M40" s="58">
        <f t="shared" si="15"/>
        <v>876750</v>
      </c>
      <c r="N40" s="58">
        <f t="shared" si="13"/>
        <v>8907000</v>
      </c>
      <c r="O40" s="59">
        <f t="shared" si="14"/>
        <v>742250</v>
      </c>
    </row>
    <row r="41" spans="1:15" x14ac:dyDescent="0.3">
      <c r="A41" s="57" t="s">
        <v>45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9"/>
    </row>
    <row r="42" spans="1:15" x14ac:dyDescent="0.3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/>
    </row>
    <row r="43" spans="1:15" ht="15" thickBot="1" x14ac:dyDescent="0.35">
      <c r="A43" s="63" t="s">
        <v>23</v>
      </c>
      <c r="B43" s="64">
        <f t="shared" ref="B43:O43" si="16">SUM(B27:B41)</f>
        <v>12098000</v>
      </c>
      <c r="C43" s="64">
        <f t="shared" si="16"/>
        <v>12348000</v>
      </c>
      <c r="D43" s="64">
        <f t="shared" si="16"/>
        <v>12098000</v>
      </c>
      <c r="E43" s="64">
        <f t="shared" si="16"/>
        <v>12298000</v>
      </c>
      <c r="F43" s="64">
        <f t="shared" si="16"/>
        <v>12498000</v>
      </c>
      <c r="G43" s="64">
        <f t="shared" si="16"/>
        <v>12698000</v>
      </c>
      <c r="H43" s="64">
        <f t="shared" si="16"/>
        <v>12898000</v>
      </c>
      <c r="I43" s="64">
        <f t="shared" si="16"/>
        <v>13098000</v>
      </c>
      <c r="J43" s="64">
        <f t="shared" si="16"/>
        <v>13251500</v>
      </c>
      <c r="K43" s="64">
        <f t="shared" si="16"/>
        <v>12951500</v>
      </c>
      <c r="L43" s="64">
        <f t="shared" si="16"/>
        <v>13026500</v>
      </c>
      <c r="M43" s="64">
        <f t="shared" si="16"/>
        <v>13528250</v>
      </c>
      <c r="N43" s="64">
        <f t="shared" si="16"/>
        <v>152791750</v>
      </c>
      <c r="O43" s="64">
        <f t="shared" si="16"/>
        <v>12732645.833333334</v>
      </c>
    </row>
    <row r="46" spans="1:15" x14ac:dyDescent="0.3">
      <c r="A46" s="53" t="s">
        <v>56</v>
      </c>
    </row>
    <row r="47" spans="1:15" ht="15" thickBot="1" x14ac:dyDescent="0.35"/>
    <row r="48" spans="1:15" ht="15" thickBot="1" x14ac:dyDescent="0.35">
      <c r="A48" s="54"/>
      <c r="B48" s="55" t="s">
        <v>29</v>
      </c>
      <c r="C48" s="55" t="s">
        <v>30</v>
      </c>
      <c r="D48" s="55" t="s">
        <v>31</v>
      </c>
      <c r="E48" s="55" t="s">
        <v>32</v>
      </c>
      <c r="F48" s="55" t="s">
        <v>33</v>
      </c>
      <c r="G48" s="55" t="s">
        <v>34</v>
      </c>
      <c r="H48" s="55" t="s">
        <v>35</v>
      </c>
      <c r="I48" s="55" t="s">
        <v>36</v>
      </c>
      <c r="J48" s="55" t="s">
        <v>37</v>
      </c>
      <c r="K48" s="55" t="s">
        <v>38</v>
      </c>
      <c r="L48" s="55" t="s">
        <v>39</v>
      </c>
      <c r="M48" s="55" t="s">
        <v>40</v>
      </c>
      <c r="N48" s="55" t="s">
        <v>41</v>
      </c>
      <c r="O48" s="56" t="s">
        <v>42</v>
      </c>
    </row>
    <row r="49" spans="1:17" x14ac:dyDescent="0.3">
      <c r="A49" s="57" t="s">
        <v>8</v>
      </c>
      <c r="B49" s="58">
        <f>1275000*1.05</f>
        <v>1338750</v>
      </c>
      <c r="C49" s="58">
        <f t="shared" ref="C49:M49" si="17">1275000*1.05</f>
        <v>1338750</v>
      </c>
      <c r="D49" s="58">
        <f t="shared" si="17"/>
        <v>1338750</v>
      </c>
      <c r="E49" s="58">
        <f t="shared" si="17"/>
        <v>1338750</v>
      </c>
      <c r="F49" s="58">
        <f t="shared" si="17"/>
        <v>1338750</v>
      </c>
      <c r="G49" s="58">
        <f t="shared" si="17"/>
        <v>1338750</v>
      </c>
      <c r="H49" s="58">
        <f t="shared" si="17"/>
        <v>1338750</v>
      </c>
      <c r="I49" s="58">
        <f t="shared" si="17"/>
        <v>1338750</v>
      </c>
      <c r="J49" s="58">
        <f t="shared" si="17"/>
        <v>1338750</v>
      </c>
      <c r="K49" s="58">
        <f t="shared" si="17"/>
        <v>1338750</v>
      </c>
      <c r="L49" s="58">
        <f t="shared" si="17"/>
        <v>1338750</v>
      </c>
      <c r="M49" s="58">
        <f t="shared" si="17"/>
        <v>1338750</v>
      </c>
      <c r="N49" s="58">
        <f>SUM(B49:M49)</f>
        <v>16065000</v>
      </c>
      <c r="O49" s="59">
        <f>+N49/12</f>
        <v>1338750</v>
      </c>
    </row>
    <row r="50" spans="1:17" x14ac:dyDescent="0.3">
      <c r="A50" s="57" t="s">
        <v>9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9"/>
    </row>
    <row r="51" spans="1:17" x14ac:dyDescent="0.3">
      <c r="A51" s="57" t="s">
        <v>10</v>
      </c>
      <c r="B51" s="58">
        <v>350000</v>
      </c>
      <c r="C51" s="58">
        <v>400000</v>
      </c>
      <c r="D51" s="58">
        <v>450000</v>
      </c>
      <c r="E51" s="58">
        <v>500000</v>
      </c>
      <c r="F51" s="58">
        <v>550000</v>
      </c>
      <c r="G51" s="58">
        <v>600000</v>
      </c>
      <c r="H51" s="58">
        <v>650000</v>
      </c>
      <c r="I51" s="58">
        <v>700000</v>
      </c>
      <c r="J51" s="58">
        <v>750000</v>
      </c>
      <c r="K51" s="58">
        <v>400000</v>
      </c>
      <c r="L51" s="58">
        <v>425000</v>
      </c>
      <c r="M51" s="58">
        <f t="shared" ref="M51" si="18">835000*1.05</f>
        <v>876750</v>
      </c>
      <c r="N51" s="58">
        <f>SUM(B51:M51)</f>
        <v>6651750</v>
      </c>
      <c r="O51" s="59">
        <f>+N51/12</f>
        <v>554312.5</v>
      </c>
      <c r="Q51" s="65"/>
    </row>
    <row r="52" spans="1:17" x14ac:dyDescent="0.3">
      <c r="A52" s="57" t="s">
        <v>11</v>
      </c>
      <c r="B52" s="58">
        <f>835000*1.05</f>
        <v>876750</v>
      </c>
      <c r="C52" s="58">
        <f t="shared" ref="C52:M54" si="19">835000*1.05</f>
        <v>876750</v>
      </c>
      <c r="D52" s="58">
        <f t="shared" si="19"/>
        <v>876750</v>
      </c>
      <c r="E52" s="58">
        <f t="shared" si="19"/>
        <v>876750</v>
      </c>
      <c r="F52" s="58">
        <f t="shared" si="19"/>
        <v>876750</v>
      </c>
      <c r="G52" s="58">
        <f t="shared" si="19"/>
        <v>876750</v>
      </c>
      <c r="H52" s="58">
        <f t="shared" si="19"/>
        <v>876750</v>
      </c>
      <c r="I52" s="58">
        <f t="shared" si="19"/>
        <v>876750</v>
      </c>
      <c r="J52" s="58">
        <f t="shared" si="19"/>
        <v>876750</v>
      </c>
      <c r="K52" s="58">
        <f t="shared" si="19"/>
        <v>876750</v>
      </c>
      <c r="L52" s="58">
        <f t="shared" si="19"/>
        <v>876750</v>
      </c>
      <c r="M52" s="58">
        <f t="shared" si="19"/>
        <v>876750</v>
      </c>
      <c r="N52" s="58">
        <f>SUM(B52:M52)</f>
        <v>10521000</v>
      </c>
      <c r="O52" s="59">
        <f>+N52/12</f>
        <v>876750</v>
      </c>
    </row>
    <row r="53" spans="1:17" x14ac:dyDescent="0.3">
      <c r="A53" s="57" t="s">
        <v>12</v>
      </c>
      <c r="B53" s="58">
        <v>100000</v>
      </c>
      <c r="C53" s="58">
        <v>150000</v>
      </c>
      <c r="D53" s="58">
        <v>200000</v>
      </c>
      <c r="E53" s="58">
        <v>250000</v>
      </c>
      <c r="F53" s="58">
        <v>300000</v>
      </c>
      <c r="G53" s="58">
        <v>350000</v>
      </c>
      <c r="H53" s="58">
        <v>400000</v>
      </c>
      <c r="I53" s="58">
        <v>450000</v>
      </c>
      <c r="J53" s="58">
        <v>500000</v>
      </c>
      <c r="K53" s="58">
        <v>550000</v>
      </c>
      <c r="L53" s="58">
        <v>600000</v>
      </c>
      <c r="M53" s="58">
        <v>650000</v>
      </c>
      <c r="N53" s="58">
        <f>SUM(B53:M53)</f>
        <v>4500000</v>
      </c>
      <c r="O53" s="59">
        <f>+N53/12</f>
        <v>375000</v>
      </c>
    </row>
    <row r="54" spans="1:17" x14ac:dyDescent="0.3">
      <c r="A54" s="57" t="s">
        <v>13</v>
      </c>
      <c r="B54" s="58">
        <v>500000</v>
      </c>
      <c r="C54" s="58">
        <v>550000</v>
      </c>
      <c r="D54" s="58">
        <v>600000</v>
      </c>
      <c r="E54" s="58">
        <v>650000</v>
      </c>
      <c r="F54" s="58">
        <v>700000</v>
      </c>
      <c r="G54" s="58">
        <v>750000</v>
      </c>
      <c r="H54" s="58">
        <v>800000</v>
      </c>
      <c r="I54" s="58">
        <v>850000</v>
      </c>
      <c r="J54" s="58">
        <f t="shared" si="19"/>
        <v>876750</v>
      </c>
      <c r="K54" s="58">
        <f t="shared" si="19"/>
        <v>876750</v>
      </c>
      <c r="L54" s="58">
        <f t="shared" si="19"/>
        <v>876750</v>
      </c>
      <c r="M54" s="58">
        <f t="shared" si="19"/>
        <v>876750</v>
      </c>
      <c r="N54" s="58">
        <f>SUM(B54:M54)</f>
        <v>8907000</v>
      </c>
      <c r="O54" s="59">
        <f>+N54/12</f>
        <v>742250</v>
      </c>
    </row>
    <row r="55" spans="1:17" x14ac:dyDescent="0.3">
      <c r="A55" s="57" t="s">
        <v>14</v>
      </c>
      <c r="B55" s="58">
        <f t="shared" ref="B55:M62" si="20">1275000*1.05</f>
        <v>1338750</v>
      </c>
      <c r="C55" s="58">
        <f t="shared" si="20"/>
        <v>1338750</v>
      </c>
      <c r="D55" s="58">
        <f t="shared" si="20"/>
        <v>1338750</v>
      </c>
      <c r="E55" s="58">
        <f t="shared" si="20"/>
        <v>1338750</v>
      </c>
      <c r="F55" s="58">
        <f t="shared" si="20"/>
        <v>1338750</v>
      </c>
      <c r="G55" s="58">
        <f t="shared" si="20"/>
        <v>1338750</v>
      </c>
      <c r="H55" s="58">
        <f t="shared" si="20"/>
        <v>1338750</v>
      </c>
      <c r="I55" s="58">
        <f t="shared" si="20"/>
        <v>1338750</v>
      </c>
      <c r="J55" s="58">
        <f t="shared" si="20"/>
        <v>1338750</v>
      </c>
      <c r="K55" s="58">
        <f t="shared" si="20"/>
        <v>1338750</v>
      </c>
      <c r="L55" s="58">
        <f t="shared" si="20"/>
        <v>1338750</v>
      </c>
      <c r="M55" s="58">
        <f t="shared" si="20"/>
        <v>1338750</v>
      </c>
      <c r="N55" s="58">
        <f>SUM(B55:M55)</f>
        <v>16065000</v>
      </c>
      <c r="O55" s="59">
        <f>+N55/12</f>
        <v>1338750</v>
      </c>
    </row>
    <row r="56" spans="1:17" x14ac:dyDescent="0.3">
      <c r="A56" s="57" t="s">
        <v>15</v>
      </c>
      <c r="B56" s="58">
        <f t="shared" si="20"/>
        <v>1338750</v>
      </c>
      <c r="C56" s="58">
        <f t="shared" si="20"/>
        <v>1338750</v>
      </c>
      <c r="D56" s="58">
        <f t="shared" si="20"/>
        <v>1338750</v>
      </c>
      <c r="E56" s="58">
        <f t="shared" si="20"/>
        <v>1338750</v>
      </c>
      <c r="F56" s="58">
        <f t="shared" si="20"/>
        <v>1338750</v>
      </c>
      <c r="G56" s="58">
        <f t="shared" si="20"/>
        <v>1338750</v>
      </c>
      <c r="H56" s="58">
        <f t="shared" si="20"/>
        <v>1338750</v>
      </c>
      <c r="I56" s="58">
        <f t="shared" si="20"/>
        <v>1338750</v>
      </c>
      <c r="J56" s="58">
        <f t="shared" si="20"/>
        <v>1338750</v>
      </c>
      <c r="K56" s="58">
        <f t="shared" si="20"/>
        <v>1338750</v>
      </c>
      <c r="L56" s="58">
        <f t="shared" si="20"/>
        <v>1338750</v>
      </c>
      <c r="M56" s="58">
        <f t="shared" si="20"/>
        <v>1338750</v>
      </c>
      <c r="N56" s="58">
        <f t="shared" ref="N56:N63" si="21">SUM(B56:M56)</f>
        <v>16065000</v>
      </c>
      <c r="O56" s="59">
        <f t="shared" ref="O56:O63" si="22">+N56/12</f>
        <v>1338750</v>
      </c>
    </row>
    <row r="57" spans="1:17" x14ac:dyDescent="0.3">
      <c r="A57" s="57" t="s">
        <v>57</v>
      </c>
      <c r="B57" s="58"/>
      <c r="C57" s="58"/>
      <c r="D57" s="58"/>
      <c r="E57" s="58"/>
      <c r="F57" s="58"/>
      <c r="G57" s="58">
        <v>100000</v>
      </c>
      <c r="H57" s="58">
        <v>150000</v>
      </c>
      <c r="I57" s="58">
        <v>200000</v>
      </c>
      <c r="J57" s="58">
        <v>250000</v>
      </c>
      <c r="K57" s="58">
        <v>300000</v>
      </c>
      <c r="L57" s="58">
        <v>350000</v>
      </c>
      <c r="M57" s="58">
        <v>400000</v>
      </c>
      <c r="N57" s="58">
        <f t="shared" ref="N57" si="23">SUM(B57:M57)</f>
        <v>1750000</v>
      </c>
      <c r="O57" s="59">
        <f t="shared" ref="O57" si="24">+N57/12</f>
        <v>145833.33333333334</v>
      </c>
    </row>
    <row r="58" spans="1:17" x14ac:dyDescent="0.3">
      <c r="A58" s="57" t="s">
        <v>43</v>
      </c>
      <c r="B58" s="58">
        <f t="shared" si="20"/>
        <v>1338750</v>
      </c>
      <c r="C58" s="58">
        <f t="shared" si="20"/>
        <v>1338750</v>
      </c>
      <c r="D58" s="58">
        <f t="shared" si="20"/>
        <v>1338750</v>
      </c>
      <c r="E58" s="58">
        <f t="shared" si="20"/>
        <v>1338750</v>
      </c>
      <c r="F58" s="58">
        <f t="shared" si="20"/>
        <v>1338750</v>
      </c>
      <c r="G58" s="58">
        <f t="shared" si="20"/>
        <v>1338750</v>
      </c>
      <c r="H58" s="58">
        <f t="shared" si="20"/>
        <v>1338750</v>
      </c>
      <c r="I58" s="58">
        <f t="shared" si="20"/>
        <v>1338750</v>
      </c>
      <c r="J58" s="58">
        <f t="shared" si="20"/>
        <v>1338750</v>
      </c>
      <c r="K58" s="58">
        <f t="shared" si="20"/>
        <v>1338750</v>
      </c>
      <c r="L58" s="58">
        <f t="shared" si="20"/>
        <v>1338750</v>
      </c>
      <c r="M58" s="58">
        <f t="shared" si="20"/>
        <v>1338750</v>
      </c>
      <c r="N58" s="58">
        <f t="shared" si="21"/>
        <v>16065000</v>
      </c>
      <c r="O58" s="59">
        <f t="shared" si="22"/>
        <v>1338750</v>
      </c>
    </row>
    <row r="59" spans="1:17" x14ac:dyDescent="0.3">
      <c r="A59" s="57" t="s">
        <v>44</v>
      </c>
      <c r="B59" s="58">
        <f t="shared" si="20"/>
        <v>1338750</v>
      </c>
      <c r="C59" s="58">
        <f t="shared" si="20"/>
        <v>1338750</v>
      </c>
      <c r="D59" s="58">
        <f t="shared" si="20"/>
        <v>1338750</v>
      </c>
      <c r="E59" s="58">
        <f t="shared" si="20"/>
        <v>1338750</v>
      </c>
      <c r="F59" s="58">
        <f t="shared" si="20"/>
        <v>1338750</v>
      </c>
      <c r="G59" s="58">
        <f t="shared" si="20"/>
        <v>1338750</v>
      </c>
      <c r="H59" s="58">
        <f t="shared" si="20"/>
        <v>1338750</v>
      </c>
      <c r="I59" s="58">
        <f t="shared" si="20"/>
        <v>1338750</v>
      </c>
      <c r="J59" s="58">
        <f t="shared" si="20"/>
        <v>1338750</v>
      </c>
      <c r="K59" s="58">
        <f t="shared" si="20"/>
        <v>1338750</v>
      </c>
      <c r="L59" s="58">
        <f t="shared" si="20"/>
        <v>1338750</v>
      </c>
      <c r="M59" s="58">
        <f t="shared" si="20"/>
        <v>1338750</v>
      </c>
      <c r="N59" s="58">
        <f t="shared" si="21"/>
        <v>16065000</v>
      </c>
      <c r="O59" s="59">
        <f t="shared" si="22"/>
        <v>1338750</v>
      </c>
    </row>
    <row r="60" spans="1:17" x14ac:dyDescent="0.3">
      <c r="A60" s="60" t="s">
        <v>19</v>
      </c>
      <c r="B60" s="58">
        <v>400000</v>
      </c>
      <c r="C60" s="58">
        <v>450000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>
        <f t="shared" si="21"/>
        <v>850000</v>
      </c>
      <c r="O60" s="59">
        <f t="shared" si="22"/>
        <v>70833.333333333328</v>
      </c>
    </row>
    <row r="61" spans="1:17" x14ac:dyDescent="0.3">
      <c r="A61" s="60" t="s">
        <v>20</v>
      </c>
      <c r="B61" s="58">
        <f t="shared" si="20"/>
        <v>1338750</v>
      </c>
      <c r="C61" s="58">
        <f t="shared" si="20"/>
        <v>1338750</v>
      </c>
      <c r="D61" s="58">
        <f t="shared" si="20"/>
        <v>1338750</v>
      </c>
      <c r="E61" s="58">
        <f t="shared" si="20"/>
        <v>1338750</v>
      </c>
      <c r="F61" s="58">
        <f t="shared" si="20"/>
        <v>1338750</v>
      </c>
      <c r="G61" s="58">
        <f t="shared" si="20"/>
        <v>1338750</v>
      </c>
      <c r="H61" s="58">
        <f t="shared" si="20"/>
        <v>1338750</v>
      </c>
      <c r="I61" s="58">
        <f t="shared" si="20"/>
        <v>1338750</v>
      </c>
      <c r="J61" s="58">
        <f t="shared" si="20"/>
        <v>1338750</v>
      </c>
      <c r="K61" s="58">
        <f t="shared" si="20"/>
        <v>1338750</v>
      </c>
      <c r="L61" s="58">
        <f t="shared" si="20"/>
        <v>1338750</v>
      </c>
      <c r="M61" s="58">
        <f t="shared" si="20"/>
        <v>1338750</v>
      </c>
      <c r="N61" s="61">
        <f t="shared" si="21"/>
        <v>16065000</v>
      </c>
      <c r="O61" s="62">
        <f t="shared" si="22"/>
        <v>1338750</v>
      </c>
    </row>
    <row r="62" spans="1:17" x14ac:dyDescent="0.3">
      <c r="A62" s="57" t="s">
        <v>21</v>
      </c>
      <c r="B62" s="58">
        <f t="shared" si="20"/>
        <v>1338750</v>
      </c>
      <c r="C62" s="58">
        <f t="shared" si="20"/>
        <v>1338750</v>
      </c>
      <c r="D62" s="58">
        <f t="shared" si="20"/>
        <v>1338750</v>
      </c>
      <c r="E62" s="58">
        <f t="shared" si="20"/>
        <v>1338750</v>
      </c>
      <c r="F62" s="58">
        <f t="shared" si="20"/>
        <v>1338750</v>
      </c>
      <c r="G62" s="58">
        <f t="shared" si="20"/>
        <v>1338750</v>
      </c>
      <c r="H62" s="58">
        <f t="shared" si="20"/>
        <v>1338750</v>
      </c>
      <c r="I62" s="58">
        <f t="shared" si="20"/>
        <v>1338750</v>
      </c>
      <c r="J62" s="58">
        <f t="shared" si="20"/>
        <v>1338750</v>
      </c>
      <c r="K62" s="58">
        <f t="shared" si="20"/>
        <v>1338750</v>
      </c>
      <c r="L62" s="58">
        <f t="shared" si="20"/>
        <v>1338750</v>
      </c>
      <c r="M62" s="58">
        <f t="shared" si="20"/>
        <v>1338750</v>
      </c>
      <c r="N62" s="58">
        <f t="shared" si="21"/>
        <v>16065000</v>
      </c>
      <c r="O62" s="59">
        <f t="shared" si="22"/>
        <v>1338750</v>
      </c>
    </row>
    <row r="63" spans="1:17" x14ac:dyDescent="0.3">
      <c r="A63" s="57" t="s">
        <v>22</v>
      </c>
      <c r="B63" s="58">
        <v>500000</v>
      </c>
      <c r="C63" s="58">
        <v>550000</v>
      </c>
      <c r="D63" s="58">
        <v>600000</v>
      </c>
      <c r="E63" s="58">
        <v>650000</v>
      </c>
      <c r="F63" s="58">
        <v>700000</v>
      </c>
      <c r="G63" s="58">
        <v>750000</v>
      </c>
      <c r="H63" s="58">
        <v>800000</v>
      </c>
      <c r="I63" s="58">
        <v>850000</v>
      </c>
      <c r="J63" s="58">
        <f t="shared" ref="J63:M63" si="25">835000*1.05</f>
        <v>876750</v>
      </c>
      <c r="K63" s="58">
        <f t="shared" si="25"/>
        <v>876750</v>
      </c>
      <c r="L63" s="58">
        <f t="shared" si="25"/>
        <v>876750</v>
      </c>
      <c r="M63" s="58">
        <f t="shared" si="25"/>
        <v>876750</v>
      </c>
      <c r="N63" s="58">
        <f t="shared" si="21"/>
        <v>8907000</v>
      </c>
      <c r="O63" s="59">
        <f t="shared" si="22"/>
        <v>742250</v>
      </c>
    </row>
    <row r="64" spans="1:17" x14ac:dyDescent="0.3">
      <c r="A64" s="57" t="s">
        <v>45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/>
    </row>
    <row r="65" spans="1:15" x14ac:dyDescent="0.3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9"/>
    </row>
    <row r="66" spans="1:15" ht="15" thickBot="1" x14ac:dyDescent="0.35">
      <c r="A66" s="63" t="s">
        <v>23</v>
      </c>
      <c r="B66" s="64">
        <f t="shared" ref="B66:O66" si="26">SUM(B49:B64)</f>
        <v>12098000</v>
      </c>
      <c r="C66" s="64">
        <f t="shared" si="26"/>
        <v>12348000</v>
      </c>
      <c r="D66" s="64">
        <f t="shared" si="26"/>
        <v>12098000</v>
      </c>
      <c r="E66" s="64">
        <f t="shared" si="26"/>
        <v>12298000</v>
      </c>
      <c r="F66" s="64">
        <f t="shared" si="26"/>
        <v>12498000</v>
      </c>
      <c r="G66" s="64">
        <f t="shared" si="26"/>
        <v>12798000</v>
      </c>
      <c r="H66" s="64">
        <f t="shared" si="26"/>
        <v>13048000</v>
      </c>
      <c r="I66" s="64">
        <f t="shared" si="26"/>
        <v>13298000</v>
      </c>
      <c r="J66" s="64">
        <f t="shared" si="26"/>
        <v>13501500</v>
      </c>
      <c r="K66" s="64">
        <f t="shared" si="26"/>
        <v>13251500</v>
      </c>
      <c r="L66" s="64">
        <f t="shared" si="26"/>
        <v>13376500</v>
      </c>
      <c r="M66" s="64">
        <f t="shared" si="26"/>
        <v>13928250</v>
      </c>
      <c r="N66" s="64">
        <f t="shared" si="26"/>
        <v>154541750</v>
      </c>
      <c r="O66" s="64">
        <f t="shared" si="26"/>
        <v>12878479.166666666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5977-C656-4E63-936E-602B570C00AA}">
  <dimension ref="A1:CB40"/>
  <sheetViews>
    <sheetView tabSelected="1" workbookViewId="0">
      <pane xSplit="1" ySplit="2" topLeftCell="BC3" activePane="bottomRight" state="frozen"/>
      <selection pane="topRight" activeCell="B1" sqref="B1"/>
      <selection pane="bottomLeft" activeCell="A3" sqref="A3"/>
      <selection pane="bottomRight" activeCell="BQ11" sqref="BQ11"/>
    </sheetView>
  </sheetViews>
  <sheetFormatPr baseColWidth="10" defaultRowHeight="14.4" x14ac:dyDescent="0.3"/>
  <cols>
    <col min="1" max="1" width="23.44140625" style="36" customWidth="1"/>
    <col min="2" max="2" width="11.44140625" style="44" hidden="1" customWidth="1"/>
    <col min="3" max="3" width="10.44140625" style="44" hidden="1" customWidth="1"/>
    <col min="4" max="4" width="11.44140625" hidden="1" customWidth="1"/>
    <col min="5" max="5" width="7.88671875" style="45" hidden="1" customWidth="1"/>
    <col min="6" max="6" width="10.44140625" style="46" hidden="1" customWidth="1"/>
    <col min="7" max="7" width="11.44140625" style="36" hidden="1" customWidth="1"/>
    <col min="8" max="8" width="7.88671875" style="36" hidden="1" customWidth="1"/>
    <col min="9" max="9" width="11.44140625" style="44" hidden="1" customWidth="1"/>
    <col min="10" max="10" width="13.6640625" style="44" hidden="1" customWidth="1"/>
    <col min="11" max="11" width="11.44140625" hidden="1" customWidth="1"/>
    <col min="12" max="12" width="8.109375" style="45" hidden="1" customWidth="1"/>
    <col min="13" max="13" width="11.44140625" style="46" hidden="1" customWidth="1"/>
    <col min="14" max="14" width="11.44140625" style="36" hidden="1" customWidth="1"/>
    <col min="15" max="15" width="7.88671875" style="36" hidden="1" customWidth="1"/>
    <col min="16" max="16" width="11.44140625" style="44" hidden="1" customWidth="1"/>
    <col min="17" max="17" width="13.6640625" style="44" hidden="1" customWidth="1"/>
    <col min="18" max="18" width="11.44140625" hidden="1" customWidth="1"/>
    <col min="19" max="19" width="8.109375" style="45" hidden="1" customWidth="1"/>
    <col min="20" max="20" width="10.44140625" style="46" hidden="1" customWidth="1"/>
    <col min="21" max="21" width="10.44140625" style="36" hidden="1" customWidth="1"/>
    <col min="22" max="22" width="7.109375" style="36" hidden="1" customWidth="1"/>
    <col min="23" max="23" width="11.44140625" style="44" hidden="1" customWidth="1"/>
    <col min="24" max="24" width="12.88671875" style="44" hidden="1" customWidth="1"/>
    <col min="25" max="25" width="10.44140625" hidden="1" customWidth="1"/>
    <col min="26" max="26" width="7.109375" style="45" hidden="1" customWidth="1"/>
    <col min="27" max="27" width="11.44140625" style="46" hidden="1" customWidth="1"/>
    <col min="28" max="28" width="10.44140625" style="36" hidden="1" customWidth="1"/>
    <col min="29" max="29" width="7.109375" style="36" hidden="1" customWidth="1"/>
    <col min="30" max="30" width="11.44140625" style="44" hidden="1" customWidth="1"/>
    <col min="31" max="31" width="12.88671875" style="44" hidden="1" customWidth="1"/>
    <col min="32" max="32" width="11.77734375" hidden="1" customWidth="1"/>
    <col min="33" max="33" width="7.77734375" style="45" hidden="1" customWidth="1"/>
    <col min="34" max="34" width="11.44140625" style="46" hidden="1" customWidth="1"/>
    <col min="35" max="35" width="11.44140625" style="36" hidden="1" customWidth="1"/>
    <col min="36" max="36" width="7.77734375" style="36" hidden="1" customWidth="1"/>
    <col min="37" max="37" width="11.44140625" style="44" hidden="1" customWidth="1"/>
    <col min="38" max="38" width="12.88671875" style="44" hidden="1" customWidth="1"/>
    <col min="39" max="39" width="11.77734375" hidden="1" customWidth="1"/>
    <col min="40" max="40" width="7.77734375" style="143" hidden="1" customWidth="1"/>
    <col min="41" max="41" width="11.44140625" style="144" hidden="1" customWidth="1"/>
    <col min="42" max="42" width="11.44140625" style="138" hidden="1" customWidth="1"/>
    <col min="43" max="43" width="7.77734375" style="138" hidden="1" customWidth="1"/>
    <col min="44" max="44" width="11.44140625" style="44" hidden="1" customWidth="1"/>
    <col min="45" max="45" width="12.88671875" style="44" hidden="1" customWidth="1"/>
    <col min="46" max="46" width="11.77734375" hidden="1" customWidth="1"/>
    <col min="47" max="47" width="9.109375" style="45" hidden="1" customWidth="1"/>
    <col min="48" max="48" width="11.44140625" style="144" hidden="1" customWidth="1"/>
    <col min="49" max="49" width="11.44140625" style="138" hidden="1" customWidth="1"/>
    <col min="50" max="50" width="7.77734375" style="36" hidden="1" customWidth="1"/>
    <col min="51" max="51" width="11.44140625" style="44" hidden="1" customWidth="1"/>
    <col min="52" max="52" width="12.88671875" style="44" hidden="1" customWidth="1"/>
    <col min="53" max="53" width="11.77734375" hidden="1" customWidth="1"/>
    <col min="54" max="54" width="9.109375" style="45" hidden="1" customWidth="1"/>
    <col min="55" max="55" width="11.44140625" style="144" hidden="1" customWidth="1"/>
    <col min="56" max="56" width="11.44140625" style="138" hidden="1" customWidth="1"/>
    <col min="57" max="57" width="7.77734375" style="36" hidden="1" customWidth="1"/>
    <col min="58" max="58" width="11.44140625" style="44" hidden="1" customWidth="1"/>
    <col min="59" max="59" width="12.88671875" style="44" hidden="1" customWidth="1"/>
    <col min="60" max="60" width="11.77734375" hidden="1" customWidth="1"/>
    <col min="61" max="61" width="9.109375" style="45" hidden="1" customWidth="1"/>
    <col min="62" max="62" width="11.44140625" style="144" hidden="1" customWidth="1"/>
    <col min="63" max="63" width="11.44140625" style="138" hidden="1" customWidth="1"/>
    <col min="64" max="64" width="7.77734375" style="36" hidden="1" customWidth="1"/>
    <col min="65" max="65" width="11.44140625" style="44" bestFit="1" customWidth="1"/>
    <col min="66" max="66" width="12.88671875" style="44" bestFit="1" customWidth="1"/>
    <col min="67" max="67" width="11.77734375" customWidth="1"/>
    <col min="68" max="68" width="9.109375" style="45" bestFit="1" customWidth="1"/>
    <col min="69" max="69" width="11.44140625" style="144" bestFit="1" customWidth="1"/>
    <col min="70" max="70" width="11.44140625" style="138" bestFit="1" customWidth="1"/>
    <col min="71" max="71" width="7.77734375" style="36" bestFit="1" customWidth="1"/>
    <col min="72" max="72" width="12.44140625" bestFit="1" customWidth="1"/>
    <col min="73" max="73" width="13" bestFit="1" customWidth="1"/>
    <col min="74" max="74" width="11.44140625" bestFit="1" customWidth="1"/>
    <col min="75" max="75" width="7.77734375" style="36" customWidth="1"/>
    <col min="76" max="76" width="12.44140625" bestFit="1" customWidth="1"/>
    <col min="77" max="77" width="11.44140625" bestFit="1" customWidth="1"/>
    <col min="78" max="78" width="7.109375" style="36" bestFit="1" customWidth="1"/>
    <col min="79" max="80" width="11.44140625" bestFit="1" customWidth="1"/>
  </cols>
  <sheetData>
    <row r="1" spans="1:80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115"/>
      <c r="AL1" s="116"/>
      <c r="AM1" s="117"/>
      <c r="AN1" s="118" t="s">
        <v>53</v>
      </c>
      <c r="AO1" s="119"/>
      <c r="AP1" s="120"/>
      <c r="AQ1" s="121"/>
      <c r="AR1" s="145"/>
      <c r="AS1" s="146"/>
      <c r="AT1" s="147"/>
      <c r="AU1" s="148" t="s">
        <v>55</v>
      </c>
      <c r="AV1" s="149"/>
      <c r="AW1" s="150"/>
      <c r="AX1" s="151"/>
      <c r="AY1" s="154"/>
      <c r="AZ1" s="155"/>
      <c r="BA1" s="156"/>
      <c r="BB1" s="157" t="s">
        <v>58</v>
      </c>
      <c r="BC1" s="158"/>
      <c r="BD1" s="159"/>
      <c r="BE1" s="160"/>
      <c r="BF1" s="163"/>
      <c r="BG1" s="164"/>
      <c r="BH1" s="165"/>
      <c r="BI1" s="166" t="s">
        <v>59</v>
      </c>
      <c r="BJ1" s="167"/>
      <c r="BK1" s="168"/>
      <c r="BL1" s="169"/>
      <c r="BM1" s="163"/>
      <c r="BN1" s="164"/>
      <c r="BO1" s="165"/>
      <c r="BP1" s="166" t="s">
        <v>60</v>
      </c>
      <c r="BQ1" s="167"/>
      <c r="BR1" s="168"/>
      <c r="BS1" s="169"/>
      <c r="BT1" s="66"/>
      <c r="BU1" s="67"/>
      <c r="BV1" s="68"/>
      <c r="BW1" s="69" t="s">
        <v>46</v>
      </c>
      <c r="BX1" s="67"/>
      <c r="BY1" s="68"/>
      <c r="BZ1" s="70"/>
      <c r="CA1" s="71"/>
      <c r="CB1" s="72"/>
    </row>
    <row r="2" spans="1:80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22" t="s">
        <v>5</v>
      </c>
      <c r="AO2" s="123" t="s">
        <v>6</v>
      </c>
      <c r="AP2" s="124" t="s">
        <v>7</v>
      </c>
      <c r="AQ2" s="125" t="s">
        <v>5</v>
      </c>
      <c r="AR2" s="8" t="s">
        <v>2</v>
      </c>
      <c r="AS2" s="9" t="s">
        <v>3</v>
      </c>
      <c r="AT2" s="10" t="s">
        <v>4</v>
      </c>
      <c r="AU2" s="11" t="s">
        <v>5</v>
      </c>
      <c r="AV2" s="123" t="s">
        <v>6</v>
      </c>
      <c r="AW2" s="124" t="s">
        <v>7</v>
      </c>
      <c r="AX2" s="13" t="s">
        <v>5</v>
      </c>
      <c r="AY2" s="8" t="s">
        <v>2</v>
      </c>
      <c r="AZ2" s="9" t="s">
        <v>3</v>
      </c>
      <c r="BA2" s="10" t="s">
        <v>4</v>
      </c>
      <c r="BB2" s="11" t="s">
        <v>5</v>
      </c>
      <c r="BC2" s="123" t="s">
        <v>6</v>
      </c>
      <c r="BD2" s="124" t="s">
        <v>7</v>
      </c>
      <c r="BE2" s="13" t="s">
        <v>5</v>
      </c>
      <c r="BF2" s="8" t="s">
        <v>2</v>
      </c>
      <c r="BG2" s="9" t="s">
        <v>3</v>
      </c>
      <c r="BH2" s="10" t="s">
        <v>4</v>
      </c>
      <c r="BI2" s="11" t="s">
        <v>5</v>
      </c>
      <c r="BJ2" s="123" t="s">
        <v>6</v>
      </c>
      <c r="BK2" s="124" t="s">
        <v>7</v>
      </c>
      <c r="BL2" s="13" t="s">
        <v>5</v>
      </c>
      <c r="BM2" s="8" t="s">
        <v>2</v>
      </c>
      <c r="BN2" s="9" t="s">
        <v>3</v>
      </c>
      <c r="BO2" s="10" t="s">
        <v>4</v>
      </c>
      <c r="BP2" s="11" t="s">
        <v>5</v>
      </c>
      <c r="BQ2" s="123" t="s">
        <v>6</v>
      </c>
      <c r="BR2" s="124" t="s">
        <v>7</v>
      </c>
      <c r="BS2" s="13" t="s">
        <v>5</v>
      </c>
      <c r="BT2" s="8" t="s">
        <v>2</v>
      </c>
      <c r="BU2" s="9" t="s">
        <v>3</v>
      </c>
      <c r="BV2" s="10" t="s">
        <v>4</v>
      </c>
      <c r="BW2" s="11" t="s">
        <v>5</v>
      </c>
      <c r="BX2" s="12" t="s">
        <v>6</v>
      </c>
      <c r="BY2" s="10" t="s">
        <v>7</v>
      </c>
      <c r="BZ2" s="13" t="s">
        <v>5</v>
      </c>
      <c r="CA2" s="73" t="s">
        <v>47</v>
      </c>
      <c r="CB2" s="74" t="s">
        <v>48</v>
      </c>
    </row>
    <row r="3" spans="1:80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6"/>
      <c r="AM3" s="17"/>
      <c r="AN3" s="126"/>
      <c r="AO3" s="127"/>
      <c r="AP3" s="128"/>
      <c r="AQ3" s="129"/>
      <c r="AR3" s="15"/>
      <c r="AS3" s="16"/>
      <c r="AT3" s="17"/>
      <c r="AU3" s="18"/>
      <c r="AV3" s="127"/>
      <c r="AW3" s="128"/>
      <c r="AX3" s="21"/>
      <c r="AY3" s="15"/>
      <c r="AZ3" s="16"/>
      <c r="BA3" s="17"/>
      <c r="BB3" s="18"/>
      <c r="BC3" s="127"/>
      <c r="BD3" s="128"/>
      <c r="BE3" s="21"/>
      <c r="BF3" s="15"/>
      <c r="BG3" s="16"/>
      <c r="BH3" s="17"/>
      <c r="BI3" s="18"/>
      <c r="BJ3" s="127"/>
      <c r="BK3" s="128"/>
      <c r="BL3" s="21"/>
      <c r="BM3" s="15"/>
      <c r="BN3" s="16"/>
      <c r="BO3" s="17"/>
      <c r="BP3" s="18"/>
      <c r="BQ3" s="127"/>
      <c r="BR3" s="128"/>
      <c r="BS3" s="21"/>
      <c r="BT3" s="15"/>
      <c r="BU3" s="15"/>
      <c r="BV3" s="77"/>
      <c r="BW3" s="18"/>
      <c r="BX3" s="19"/>
      <c r="BY3" s="20"/>
      <c r="BZ3" s="21"/>
      <c r="CA3" s="16"/>
      <c r="CB3" s="26"/>
    </row>
    <row r="4" spans="1:80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1100559.3999999999</v>
      </c>
      <c r="AI4" s="25">
        <f>+AH4-AD4</f>
        <v>-238190.60000000009</v>
      </c>
      <c r="AJ4" s="18">
        <f>+AH4/AD4</f>
        <v>0.82207985060690936</v>
      </c>
      <c r="AK4" s="23">
        <v>1338750</v>
      </c>
      <c r="AL4" s="16">
        <v>1381159.65</v>
      </c>
      <c r="AM4" s="24">
        <f>+AL4-AK4</f>
        <v>42409.649999999907</v>
      </c>
      <c r="AN4" s="47">
        <f>+AL4/AK4</f>
        <v>1.031678543417367</v>
      </c>
      <c r="AO4" s="130">
        <v>1415472.58</v>
      </c>
      <c r="AP4" s="131">
        <f>+AO4-AK4</f>
        <v>76722.580000000075</v>
      </c>
      <c r="AQ4" s="47">
        <f>+AO4/AK4</f>
        <v>1.0573091167133521</v>
      </c>
      <c r="AR4" s="23">
        <v>1338750</v>
      </c>
      <c r="AS4" s="16">
        <v>1949080.02</v>
      </c>
      <c r="AT4" s="24">
        <f>+AS4-AR4</f>
        <v>610330.02</v>
      </c>
      <c r="AU4" s="47">
        <f>+AS4/AR4</f>
        <v>1.4558954397759103</v>
      </c>
      <c r="AV4" s="130">
        <v>1200411.3899999999</v>
      </c>
      <c r="AW4" s="131">
        <f>+AV4-AR4</f>
        <v>-138338.6100000001</v>
      </c>
      <c r="AX4" s="18">
        <f>+AV4/AR4</f>
        <v>0.89666583753501394</v>
      </c>
      <c r="AY4" s="23">
        <v>1338750</v>
      </c>
      <c r="AZ4" s="16">
        <v>1164168.8</v>
      </c>
      <c r="BA4" s="24">
        <f>+AZ4-AY4</f>
        <v>-174581.19999999995</v>
      </c>
      <c r="BB4" s="18">
        <f>+AZ4/AY4</f>
        <v>0.86959387488328665</v>
      </c>
      <c r="BC4" s="130">
        <v>1752835.15</v>
      </c>
      <c r="BD4" s="131">
        <f>+BC4-AY4</f>
        <v>414085.14999999991</v>
      </c>
      <c r="BE4" s="47">
        <f>+BC4/AY4</f>
        <v>1.3093073015873016</v>
      </c>
      <c r="BF4" s="23">
        <v>1338750</v>
      </c>
      <c r="BG4" s="46">
        <v>1575449.359310345</v>
      </c>
      <c r="BH4" s="24">
        <f>+BG4-BF4</f>
        <v>236699.35931034503</v>
      </c>
      <c r="BI4" s="18">
        <f>+BG4/BF4</f>
        <v>1.1768062441160374</v>
      </c>
      <c r="BJ4" s="130">
        <v>556109.49</v>
      </c>
      <c r="BK4" s="131">
        <f>+BJ4-BF4</f>
        <v>-782640.51</v>
      </c>
      <c r="BL4" s="18">
        <f>+BJ4/BF4</f>
        <v>0.41539457703081234</v>
      </c>
      <c r="BM4" s="23">
        <v>1338750</v>
      </c>
      <c r="BN4" s="46">
        <v>51456.810344827594</v>
      </c>
      <c r="BO4" s="24">
        <f>+BN4-BM4</f>
        <v>-1287293.1896551724</v>
      </c>
      <c r="BP4" s="18">
        <f>+BN4/BM4</f>
        <v>3.8436459641327803E-2</v>
      </c>
      <c r="BQ4" s="130">
        <v>42406.73</v>
      </c>
      <c r="BR4" s="131">
        <f>+BQ4-BM4</f>
        <v>-1296343.27</v>
      </c>
      <c r="BS4" s="18">
        <f>+BQ4/BM4</f>
        <v>3.1676362278244635E-2</v>
      </c>
      <c r="BT4" s="23">
        <f>+B4+I4+P4+W4+AD4+AK4+AR4+AY4+BF4+BM4</f>
        <v>13387500</v>
      </c>
      <c r="BU4" s="23">
        <f>+C4+J4+Q4+X4+AE4+AL4+AS4+AZ4+BG4+BO4</f>
        <v>9970455.959655175</v>
      </c>
      <c r="BV4" s="24">
        <f>+BU4-BT4</f>
        <v>-3417044.040344825</v>
      </c>
      <c r="BW4" s="18">
        <f>+BU4/BT4</f>
        <v>0.74475861510029318</v>
      </c>
      <c r="BX4" s="16">
        <f>+F4+M4+T4+AA4+AH4+AO4+AV4+BC4+BJ4+BQ4</f>
        <v>9183205.8499999996</v>
      </c>
      <c r="BY4" s="25">
        <f>+BX4-BT4</f>
        <v>-4204294.1500000004</v>
      </c>
      <c r="BZ4" s="18">
        <f>+BX4/BT4</f>
        <v>0.68595375163398686</v>
      </c>
      <c r="CA4" s="16">
        <f>+BU4/10</f>
        <v>997045.59596551745</v>
      </c>
      <c r="CB4" s="26">
        <f>+BX4/10</f>
        <v>918320.58499999996</v>
      </c>
    </row>
    <row r="5" spans="1:80" x14ac:dyDescent="0.3">
      <c r="A5" s="22" t="s">
        <v>9</v>
      </c>
      <c r="B5" s="23"/>
      <c r="C5" s="16"/>
      <c r="D5" s="24">
        <f t="shared" ref="D5:D19" si="0">+C5-B5</f>
        <v>0</v>
      </c>
      <c r="E5" s="18"/>
      <c r="F5" s="28"/>
      <c r="G5" s="25">
        <f t="shared" ref="G5:G19" si="1">+F5-B5</f>
        <v>0</v>
      </c>
      <c r="H5" s="18"/>
      <c r="I5" s="23"/>
      <c r="J5" s="16"/>
      <c r="K5" s="24">
        <f t="shared" ref="K5:K19" si="2">+J5-I5</f>
        <v>0</v>
      </c>
      <c r="L5" s="18"/>
      <c r="M5" s="28"/>
      <c r="N5" s="25">
        <f t="shared" ref="N5:N19" si="3">+M5-I5</f>
        <v>0</v>
      </c>
      <c r="O5" s="18"/>
      <c r="P5" s="23"/>
      <c r="Q5" s="16">
        <v>333.62</v>
      </c>
      <c r="R5" s="24">
        <f t="shared" ref="R5:R19" si="4">+Q5-P5</f>
        <v>333.62</v>
      </c>
      <c r="S5" s="18"/>
      <c r="T5" s="28"/>
      <c r="U5" s="25">
        <f t="shared" ref="U5:U19" si="5">+T5-P5</f>
        <v>0</v>
      </c>
      <c r="V5" s="18"/>
      <c r="W5" s="23"/>
      <c r="X5" s="16"/>
      <c r="Y5" s="24">
        <f t="shared" ref="Y5:Y19" si="6">+X5-W5</f>
        <v>0</v>
      </c>
      <c r="Z5" s="18"/>
      <c r="AA5" s="28"/>
      <c r="AB5" s="25">
        <f t="shared" ref="AB5:AB19" si="7">+AA5-W5</f>
        <v>0</v>
      </c>
      <c r="AC5" s="18"/>
      <c r="AD5" s="23"/>
      <c r="AE5" s="16"/>
      <c r="AF5" s="24">
        <f t="shared" ref="AF5:AF19" si="8">+AE5-AD5</f>
        <v>0</v>
      </c>
      <c r="AG5" s="18"/>
      <c r="AH5" s="28"/>
      <c r="AI5" s="25">
        <f t="shared" ref="AI5:AI19" si="9">+AH5-AD5</f>
        <v>0</v>
      </c>
      <c r="AJ5" s="18"/>
      <c r="AK5" s="23"/>
      <c r="AL5" s="16"/>
      <c r="AM5" s="24">
        <f t="shared" ref="AM5:AM19" si="10">+AL5-AK5</f>
        <v>0</v>
      </c>
      <c r="AN5" s="126"/>
      <c r="AO5" s="132"/>
      <c r="AP5" s="131">
        <f t="shared" ref="AP5:AP19" si="11">+AO5-AK5</f>
        <v>0</v>
      </c>
      <c r="AQ5" s="126"/>
      <c r="AR5" s="23"/>
      <c r="AS5" s="16"/>
      <c r="AT5" s="24">
        <f t="shared" ref="AT5:AT19" si="12">+AS5-AR5</f>
        <v>0</v>
      </c>
      <c r="AU5" s="18"/>
      <c r="AV5" s="132"/>
      <c r="AW5" s="131">
        <f t="shared" ref="AW5:AW19" si="13">+AV5-AR5</f>
        <v>0</v>
      </c>
      <c r="AX5" s="18"/>
      <c r="AY5" s="23"/>
      <c r="AZ5" s="16"/>
      <c r="BA5" s="24">
        <f t="shared" ref="BA5:BA19" si="14">+AZ5-AY5</f>
        <v>0</v>
      </c>
      <c r="BB5" s="18"/>
      <c r="BC5" s="132"/>
      <c r="BD5" s="131">
        <f t="shared" ref="BD5:BD19" si="15">+BC5-AY5</f>
        <v>0</v>
      </c>
      <c r="BE5" s="18"/>
      <c r="BF5" s="23"/>
      <c r="BG5" s="46">
        <v>5172.4137931034484</v>
      </c>
      <c r="BH5" s="24">
        <f t="shared" ref="BH5:BH19" si="16">+BG5-BF5</f>
        <v>5172.4137931034484</v>
      </c>
      <c r="BI5" s="18"/>
      <c r="BJ5" s="132"/>
      <c r="BK5" s="131">
        <f t="shared" ref="BK5:BK19" si="17">+BJ5-BF5</f>
        <v>0</v>
      </c>
      <c r="BL5" s="18"/>
      <c r="BM5" s="23"/>
      <c r="BN5" s="46">
        <v>0</v>
      </c>
      <c r="BO5" s="24">
        <f t="shared" ref="BO5:BO14" si="18">+BN5-BM5</f>
        <v>0</v>
      </c>
      <c r="BP5" s="18"/>
      <c r="BQ5" s="132"/>
      <c r="BR5" s="131">
        <f t="shared" ref="BR5:BR14" si="19">+BQ5-BM5</f>
        <v>0</v>
      </c>
      <c r="BS5" s="18"/>
      <c r="BT5" s="23">
        <f t="shared" ref="BT5:BT20" si="20">+B5+I5+P5+W5+AD5+AK5+AR5+AY5+BF5+BM5</f>
        <v>0</v>
      </c>
      <c r="BU5" s="23">
        <f t="shared" ref="BU5:BU20" si="21">+C5+J5+Q5+X5+AE5+AL5+AS5+AZ5+BG5</f>
        <v>5506.0337931034483</v>
      </c>
      <c r="BV5" s="24">
        <f t="shared" ref="BV5:BV20" si="22">+BU5-BT5</f>
        <v>5506.0337931034483</v>
      </c>
      <c r="BW5" s="18"/>
      <c r="BX5" s="16">
        <f t="shared" ref="BX5:BX20" si="23">+F5+M5+T5+AA5+AH5+AO5+AV5+BC5+BJ5+BQ5</f>
        <v>0</v>
      </c>
      <c r="BY5" s="25">
        <f t="shared" ref="BY5:BY20" si="24">+BX5-BT5</f>
        <v>0</v>
      </c>
      <c r="BZ5" s="18"/>
      <c r="CA5" s="16">
        <f t="shared" ref="CA5:CA20" si="25">+BU5/10</f>
        <v>550.60337931034485</v>
      </c>
      <c r="CB5" s="26">
        <f t="shared" ref="CB5:CB20" si="26">+BX5/10</f>
        <v>0</v>
      </c>
    </row>
    <row r="6" spans="1:80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9" si="27">+C6/B6</f>
        <v>1.5115234571428571</v>
      </c>
      <c r="F6" s="28">
        <v>733269.34</v>
      </c>
      <c r="G6" s="25">
        <f t="shared" si="1"/>
        <v>383269.33999999997</v>
      </c>
      <c r="H6" s="47">
        <f t="shared" ref="H6:H19" si="28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9" si="29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9" si="30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9" si="31">+Q6/P6</f>
        <v>0.17456677777777779</v>
      </c>
      <c r="T6" s="28">
        <v>92549.31</v>
      </c>
      <c r="U6" s="25">
        <f t="shared" si="5"/>
        <v>-357450.69</v>
      </c>
      <c r="V6" s="18">
        <f t="shared" ref="V6:V19" si="32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4" si="33">+X6/W6</f>
        <v>0.44524607999999999</v>
      </c>
      <c r="AA6" s="28">
        <v>249803.76</v>
      </c>
      <c r="AB6" s="25">
        <f t="shared" si="7"/>
        <v>-250196.24</v>
      </c>
      <c r="AC6" s="18">
        <f t="shared" ref="AC6:AC14" si="34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4" si="35">+AE6/AD6</f>
        <v>0.16078852727272727</v>
      </c>
      <c r="AH6" s="28">
        <v>73899.7</v>
      </c>
      <c r="AI6" s="25">
        <f t="shared" si="9"/>
        <v>-476100.3</v>
      </c>
      <c r="AJ6" s="18">
        <f t="shared" ref="AJ6:AJ14" si="36">+AH6/AD6</f>
        <v>0.1343630909090909</v>
      </c>
      <c r="AK6" s="26">
        <v>600000</v>
      </c>
      <c r="AL6" s="16">
        <v>329742.83</v>
      </c>
      <c r="AM6" s="24">
        <f t="shared" si="10"/>
        <v>-270257.17</v>
      </c>
      <c r="AN6" s="126">
        <f t="shared" ref="AN6:AN14" si="37">+AL6/AK6</f>
        <v>0.54957138333333333</v>
      </c>
      <c r="AO6" s="132">
        <v>340216.77</v>
      </c>
      <c r="AP6" s="131">
        <f t="shared" si="11"/>
        <v>-259783.22999999998</v>
      </c>
      <c r="AQ6" s="126">
        <f t="shared" ref="AQ6:AQ14" si="38">+AO6/AK6</f>
        <v>0.56702795000000006</v>
      </c>
      <c r="AR6" s="26">
        <v>650000</v>
      </c>
      <c r="AS6" s="16">
        <v>244304.64000000001</v>
      </c>
      <c r="AT6" s="24">
        <f t="shared" si="12"/>
        <v>-405695.36</v>
      </c>
      <c r="AU6" s="18">
        <f t="shared" ref="AU6:AU14" si="39">+AS6/AR6</f>
        <v>0.37585329230769232</v>
      </c>
      <c r="AV6" s="132">
        <v>213600.19</v>
      </c>
      <c r="AW6" s="131">
        <f t="shared" si="13"/>
        <v>-436399.81</v>
      </c>
      <c r="AX6" s="18">
        <f t="shared" ref="AX6:AX14" si="40">+AV6/AR6</f>
        <v>0.32861567692307692</v>
      </c>
      <c r="AY6" s="26">
        <v>700000</v>
      </c>
      <c r="AZ6" s="16">
        <v>155132.24</v>
      </c>
      <c r="BA6" s="24">
        <f t="shared" si="14"/>
        <v>-544867.76</v>
      </c>
      <c r="BB6" s="18">
        <f t="shared" ref="BB6:BB14" si="41">+AZ6/AY6</f>
        <v>0.22161748571428569</v>
      </c>
      <c r="BC6" s="132">
        <v>165452.94</v>
      </c>
      <c r="BD6" s="131">
        <f t="shared" si="15"/>
        <v>-534547.06000000006</v>
      </c>
      <c r="BE6" s="18">
        <f t="shared" ref="BE6:BE14" si="42">+BC6/AY6</f>
        <v>0.23636134285714286</v>
      </c>
      <c r="BF6" s="26">
        <v>750000</v>
      </c>
      <c r="BG6" s="46">
        <v>85446.887931034493</v>
      </c>
      <c r="BH6" s="24">
        <f t="shared" si="16"/>
        <v>-664553.11206896557</v>
      </c>
      <c r="BI6" s="18">
        <f t="shared" ref="BI6:BI14" si="43">+BG6/BF6</f>
        <v>0.11392918390804599</v>
      </c>
      <c r="BJ6" s="132">
        <v>133652.01</v>
      </c>
      <c r="BK6" s="131">
        <f t="shared" si="17"/>
        <v>-616347.99</v>
      </c>
      <c r="BL6" s="18">
        <f t="shared" ref="BL6:BL14" si="44">+BJ6/BF6</f>
        <v>0.17820268</v>
      </c>
      <c r="BM6" s="26">
        <v>750000</v>
      </c>
      <c r="BN6" s="46">
        <v>12440.439655172415</v>
      </c>
      <c r="BO6" s="24">
        <f t="shared" si="18"/>
        <v>-737559.56034482759</v>
      </c>
      <c r="BP6" s="18">
        <f t="shared" ref="BP6:BP14" si="45">+BN6/BM6</f>
        <v>1.6587252873563219E-2</v>
      </c>
      <c r="BQ6" s="132">
        <v>135710.64843713914</v>
      </c>
      <c r="BR6" s="131">
        <f t="shared" si="19"/>
        <v>-614289.35156286089</v>
      </c>
      <c r="BS6" s="18">
        <f t="shared" ref="BS6:BS14" si="46">+BQ6/BM6</f>
        <v>0.18094753124951884</v>
      </c>
      <c r="BT6" s="23">
        <f t="shared" si="20"/>
        <v>5700000</v>
      </c>
      <c r="BU6" s="23">
        <f t="shared" si="21"/>
        <v>2260095.8979310342</v>
      </c>
      <c r="BV6" s="24">
        <f t="shared" si="22"/>
        <v>-3439904.1020689658</v>
      </c>
      <c r="BW6" s="18">
        <f t="shared" ref="BW6:BW19" si="47">+BU6/BT6</f>
        <v>0.39650805226860247</v>
      </c>
      <c r="BX6" s="16">
        <f t="shared" si="23"/>
        <v>2428037.9484371389</v>
      </c>
      <c r="BY6" s="25">
        <f t="shared" si="24"/>
        <v>-3271962.0515628611</v>
      </c>
      <c r="BZ6" s="18">
        <f t="shared" ref="BZ6:BZ19" si="48">+BX6/BT6</f>
        <v>0.42597156990125246</v>
      </c>
      <c r="CA6" s="16">
        <f t="shared" si="25"/>
        <v>226009.58979310343</v>
      </c>
      <c r="CB6" s="26">
        <f t="shared" si="26"/>
        <v>242803.7948437139</v>
      </c>
    </row>
    <row r="7" spans="1:80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27"/>
        <v>1.2200101967493584</v>
      </c>
      <c r="F7" s="28">
        <v>1033129.09</v>
      </c>
      <c r="G7" s="25">
        <f t="shared" si="1"/>
        <v>156379.08999999997</v>
      </c>
      <c r="H7" s="105">
        <f t="shared" si="28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29"/>
        <v>1.2477482634730539</v>
      </c>
      <c r="M7" s="28">
        <v>1174515.3999999999</v>
      </c>
      <c r="N7" s="25">
        <f t="shared" si="3"/>
        <v>297765.39999999991</v>
      </c>
      <c r="O7" s="47">
        <f t="shared" si="30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31"/>
        <v>0.93849876247504993</v>
      </c>
      <c r="T7" s="28">
        <v>927646.45</v>
      </c>
      <c r="U7" s="25">
        <f t="shared" si="5"/>
        <v>50896.449999999953</v>
      </c>
      <c r="V7" s="47">
        <f t="shared" si="32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33"/>
        <v>0.84989789563729679</v>
      </c>
      <c r="AA7" s="28">
        <v>547748.51</v>
      </c>
      <c r="AB7" s="25">
        <f t="shared" si="7"/>
        <v>-329001.49</v>
      </c>
      <c r="AC7" s="18">
        <f t="shared" si="34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35"/>
        <v>0.94251808383233526</v>
      </c>
      <c r="AH7" s="28">
        <v>935266.05</v>
      </c>
      <c r="AI7" s="25">
        <f t="shared" si="9"/>
        <v>58516.050000000047</v>
      </c>
      <c r="AJ7" s="47">
        <f t="shared" si="36"/>
        <v>1.066742001710864</v>
      </c>
      <c r="AK7" s="26">
        <v>876750</v>
      </c>
      <c r="AL7" s="16">
        <v>788588.77</v>
      </c>
      <c r="AM7" s="24">
        <f t="shared" si="10"/>
        <v>-88161.229999999981</v>
      </c>
      <c r="AN7" s="126">
        <f t="shared" si="37"/>
        <v>0.89944541773595665</v>
      </c>
      <c r="AO7" s="132">
        <v>1028781.18</v>
      </c>
      <c r="AP7" s="131">
        <f t="shared" si="11"/>
        <v>152031.18000000005</v>
      </c>
      <c r="AQ7" s="47">
        <f t="shared" si="38"/>
        <v>1.1734031137724552</v>
      </c>
      <c r="AR7" s="26">
        <v>876750</v>
      </c>
      <c r="AS7" s="16">
        <v>1514700.85</v>
      </c>
      <c r="AT7" s="24">
        <f t="shared" si="12"/>
        <v>637950.85000000009</v>
      </c>
      <c r="AU7" s="47">
        <f t="shared" si="39"/>
        <v>1.7276314228685488</v>
      </c>
      <c r="AV7" s="132">
        <v>1275476.93</v>
      </c>
      <c r="AW7" s="131">
        <f t="shared" si="13"/>
        <v>398726.92999999993</v>
      </c>
      <c r="AX7" s="47">
        <f t="shared" si="40"/>
        <v>1.454778363273453</v>
      </c>
      <c r="AY7" s="26">
        <v>876750</v>
      </c>
      <c r="AZ7" s="16">
        <v>861517.78</v>
      </c>
      <c r="BA7" s="24">
        <f t="shared" si="14"/>
        <v>-15232.219999999972</v>
      </c>
      <c r="BB7" s="18">
        <f t="shared" si="41"/>
        <v>0.98262649558026804</v>
      </c>
      <c r="BC7" s="132">
        <v>859733.81</v>
      </c>
      <c r="BD7" s="131">
        <f t="shared" si="15"/>
        <v>-17016.189999999944</v>
      </c>
      <c r="BE7" s="18">
        <f t="shared" si="42"/>
        <v>0.98059174222982615</v>
      </c>
      <c r="BF7" s="26">
        <v>876750</v>
      </c>
      <c r="BG7" s="46">
        <v>585689.30172413797</v>
      </c>
      <c r="BH7" s="24">
        <f t="shared" si="16"/>
        <v>-291060.69827586203</v>
      </c>
      <c r="BI7" s="18">
        <f t="shared" si="43"/>
        <v>0.66802315565912518</v>
      </c>
      <c r="BJ7" s="132">
        <v>623893.64</v>
      </c>
      <c r="BK7" s="131">
        <f t="shared" si="17"/>
        <v>-252856.36</v>
      </c>
      <c r="BL7" s="18">
        <f t="shared" si="44"/>
        <v>0.71159810664385514</v>
      </c>
      <c r="BM7" s="26">
        <v>876750</v>
      </c>
      <c r="BN7" s="46">
        <v>38223.672413793109</v>
      </c>
      <c r="BO7" s="24">
        <f t="shared" si="18"/>
        <v>-838526.32758620684</v>
      </c>
      <c r="BP7" s="18">
        <f t="shared" si="45"/>
        <v>4.3597003038258461E-2</v>
      </c>
      <c r="BQ7" s="132">
        <v>34320.633000362701</v>
      </c>
      <c r="BR7" s="131">
        <f t="shared" si="19"/>
        <v>-842429.36699963734</v>
      </c>
      <c r="BS7" s="18">
        <f t="shared" si="46"/>
        <v>3.9145289991859365E-2</v>
      </c>
      <c r="BT7" s="23">
        <f t="shared" si="20"/>
        <v>8767500</v>
      </c>
      <c r="BU7" s="23">
        <f t="shared" si="21"/>
        <v>8308433.4317241376</v>
      </c>
      <c r="BV7" s="24">
        <f t="shared" si="22"/>
        <v>-459066.56827586237</v>
      </c>
      <c r="BW7" s="47">
        <f t="shared" si="47"/>
        <v>0.94763996940109929</v>
      </c>
      <c r="BX7" s="16">
        <f t="shared" si="23"/>
        <v>8440511.6930003613</v>
      </c>
      <c r="BY7" s="25">
        <f t="shared" si="24"/>
        <v>-326988.30699963868</v>
      </c>
      <c r="BZ7" s="47">
        <f t="shared" si="48"/>
        <v>0.96270449877392206</v>
      </c>
      <c r="CA7" s="16">
        <f t="shared" si="25"/>
        <v>830843.34317241376</v>
      </c>
      <c r="CB7" s="26">
        <f t="shared" si="26"/>
        <v>844051.16930003616</v>
      </c>
    </row>
    <row r="8" spans="1:80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27"/>
        <v>0.35595089999999996</v>
      </c>
      <c r="F8" s="28">
        <v>19135.27</v>
      </c>
      <c r="G8" s="25">
        <f t="shared" si="1"/>
        <v>-80864.73</v>
      </c>
      <c r="H8" s="108">
        <f t="shared" si="28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29"/>
        <v>1.1560655333333332</v>
      </c>
      <c r="M8" s="28">
        <v>302930.28999999998</v>
      </c>
      <c r="N8" s="25">
        <f t="shared" si="3"/>
        <v>152930.28999999998</v>
      </c>
      <c r="O8" s="47">
        <f t="shared" si="30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31"/>
        <v>1.2518899999999999</v>
      </c>
      <c r="T8" s="28">
        <v>183223.25</v>
      </c>
      <c r="U8" s="25">
        <f t="shared" si="5"/>
        <v>-16776.75</v>
      </c>
      <c r="V8" s="18">
        <f t="shared" si="32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33"/>
        <v>1.2306406000000001</v>
      </c>
      <c r="AA8" s="28">
        <v>413578.44</v>
      </c>
      <c r="AB8" s="25">
        <f t="shared" si="7"/>
        <v>163578.44</v>
      </c>
      <c r="AC8" s="47">
        <f t="shared" si="34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35"/>
        <v>3.0624049666666666</v>
      </c>
      <c r="AH8" s="28">
        <v>1378236.43</v>
      </c>
      <c r="AI8" s="25">
        <f t="shared" si="9"/>
        <v>1078236.43</v>
      </c>
      <c r="AJ8" s="47">
        <f t="shared" si="36"/>
        <v>4.5941214333333331</v>
      </c>
      <c r="AK8" s="26">
        <v>350000</v>
      </c>
      <c r="AL8" s="16">
        <v>141282</v>
      </c>
      <c r="AM8" s="24">
        <f t="shared" si="10"/>
        <v>-208718</v>
      </c>
      <c r="AN8" s="126">
        <f t="shared" si="37"/>
        <v>0.40366285714285716</v>
      </c>
      <c r="AO8" s="132">
        <v>82357.23</v>
      </c>
      <c r="AP8" s="131">
        <f t="shared" si="11"/>
        <v>-267642.77</v>
      </c>
      <c r="AQ8" s="126">
        <f t="shared" si="38"/>
        <v>0.23530637142857141</v>
      </c>
      <c r="AR8" s="26">
        <v>400000</v>
      </c>
      <c r="AS8" s="16">
        <v>732884.89</v>
      </c>
      <c r="AT8" s="24">
        <f t="shared" si="12"/>
        <v>332884.89</v>
      </c>
      <c r="AU8" s="47">
        <f t="shared" si="39"/>
        <v>1.8322122250000001</v>
      </c>
      <c r="AV8" s="132">
        <v>387262.81</v>
      </c>
      <c r="AW8" s="131">
        <f t="shared" si="13"/>
        <v>-12737.190000000002</v>
      </c>
      <c r="AX8" s="18">
        <f t="shared" si="40"/>
        <v>0.968157025</v>
      </c>
      <c r="AY8" s="26">
        <v>450000</v>
      </c>
      <c r="AZ8" s="16">
        <v>194936.59</v>
      </c>
      <c r="BA8" s="24">
        <f t="shared" si="14"/>
        <v>-255063.41</v>
      </c>
      <c r="BB8" s="18">
        <f t="shared" si="41"/>
        <v>0.43319242222222221</v>
      </c>
      <c r="BC8" s="132">
        <v>161335.79999999999</v>
      </c>
      <c r="BD8" s="131">
        <f t="shared" si="15"/>
        <v>-288664.2</v>
      </c>
      <c r="BE8" s="18">
        <f t="shared" si="42"/>
        <v>0.35852399999999995</v>
      </c>
      <c r="BF8" s="26">
        <v>500000</v>
      </c>
      <c r="BG8" s="46">
        <v>58558.025862068971</v>
      </c>
      <c r="BH8" s="24">
        <f t="shared" si="16"/>
        <v>-441441.97413793101</v>
      </c>
      <c r="BI8" s="18">
        <f t="shared" si="43"/>
        <v>0.11711605172413794</v>
      </c>
      <c r="BJ8" s="132">
        <v>59478.1</v>
      </c>
      <c r="BK8" s="131">
        <f t="shared" si="17"/>
        <v>-440521.9</v>
      </c>
      <c r="BL8" s="18">
        <f t="shared" si="44"/>
        <v>0.1189562</v>
      </c>
      <c r="BM8" s="26">
        <v>500000</v>
      </c>
      <c r="BN8" s="46">
        <v>134110.29310344829</v>
      </c>
      <c r="BO8" s="24">
        <f t="shared" si="18"/>
        <v>-365889.70689655171</v>
      </c>
      <c r="BP8" s="18">
        <f t="shared" si="45"/>
        <v>0.26822058620689659</v>
      </c>
      <c r="BQ8" s="132">
        <v>38294.718836553504</v>
      </c>
      <c r="BR8" s="131">
        <f t="shared" si="19"/>
        <v>-461705.28116344649</v>
      </c>
      <c r="BS8" s="18">
        <f t="shared" si="46"/>
        <v>7.6589437673107011E-2</v>
      </c>
      <c r="BT8" s="23">
        <f t="shared" si="20"/>
        <v>3200000</v>
      </c>
      <c r="BU8" s="23">
        <f t="shared" si="21"/>
        <v>2813426.0658620689</v>
      </c>
      <c r="BV8" s="24">
        <f t="shared" si="22"/>
        <v>-386573.93413793109</v>
      </c>
      <c r="BW8" s="47">
        <f>+BU8/BT8</f>
        <v>0.87919564558189656</v>
      </c>
      <c r="BX8" s="16">
        <f t="shared" si="23"/>
        <v>3025832.338836553</v>
      </c>
      <c r="BY8" s="25">
        <f t="shared" si="24"/>
        <v>-174167.66116344696</v>
      </c>
      <c r="BZ8" s="47">
        <f t="shared" si="48"/>
        <v>0.94557260588642278</v>
      </c>
      <c r="CA8" s="16">
        <f t="shared" si="25"/>
        <v>281342.60658620688</v>
      </c>
      <c r="CB8" s="26">
        <f t="shared" si="26"/>
        <v>302583.23388365528</v>
      </c>
    </row>
    <row r="9" spans="1:80" x14ac:dyDescent="0.3">
      <c r="A9" s="152" t="s">
        <v>13</v>
      </c>
      <c r="B9" s="26">
        <v>500000</v>
      </c>
      <c r="C9" s="16"/>
      <c r="D9" s="24">
        <f t="shared" si="0"/>
        <v>-500000</v>
      </c>
      <c r="E9" s="18">
        <f t="shared" si="27"/>
        <v>0</v>
      </c>
      <c r="F9" s="28"/>
      <c r="G9" s="25">
        <f t="shared" si="1"/>
        <v>-500000</v>
      </c>
      <c r="H9" s="108">
        <f t="shared" si="28"/>
        <v>0</v>
      </c>
      <c r="I9" s="106">
        <v>550000</v>
      </c>
      <c r="J9" s="107"/>
      <c r="K9" s="24">
        <f t="shared" si="2"/>
        <v>-550000</v>
      </c>
      <c r="L9" s="108">
        <f t="shared" si="29"/>
        <v>0</v>
      </c>
      <c r="M9" s="28"/>
      <c r="N9" s="25">
        <f t="shared" si="3"/>
        <v>-550000</v>
      </c>
      <c r="O9" s="18">
        <f t="shared" si="30"/>
        <v>0</v>
      </c>
      <c r="P9" s="26">
        <v>600000</v>
      </c>
      <c r="Q9" s="16"/>
      <c r="R9" s="24">
        <f t="shared" si="4"/>
        <v>-600000</v>
      </c>
      <c r="S9" s="18">
        <f t="shared" si="31"/>
        <v>0</v>
      </c>
      <c r="T9" s="28"/>
      <c r="U9" s="25">
        <f t="shared" si="5"/>
        <v>-600000</v>
      </c>
      <c r="V9" s="18">
        <f t="shared" si="32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33"/>
        <v>0.15135869230769231</v>
      </c>
      <c r="AA9" s="28">
        <v>82902.45</v>
      </c>
      <c r="AB9" s="25">
        <f t="shared" si="7"/>
        <v>-567097.55000000005</v>
      </c>
      <c r="AC9" s="18">
        <f t="shared" si="34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35"/>
        <v>6.9524285714285712E-4</v>
      </c>
      <c r="AH9" s="28">
        <v>15967.69</v>
      </c>
      <c r="AI9" s="25">
        <f t="shared" si="9"/>
        <v>-684032.31</v>
      </c>
      <c r="AJ9" s="18">
        <f t="shared" si="36"/>
        <v>2.2810985714285716E-2</v>
      </c>
      <c r="AK9" s="26">
        <v>750000</v>
      </c>
      <c r="AL9" s="16"/>
      <c r="AM9" s="24">
        <f t="shared" si="10"/>
        <v>-750000</v>
      </c>
      <c r="AN9" s="126">
        <f t="shared" si="37"/>
        <v>0</v>
      </c>
      <c r="AO9" s="132"/>
      <c r="AP9" s="131">
        <f t="shared" si="11"/>
        <v>-750000</v>
      </c>
      <c r="AQ9" s="126">
        <f t="shared" si="38"/>
        <v>0</v>
      </c>
      <c r="AR9" s="26">
        <v>800000</v>
      </c>
      <c r="AS9" s="16"/>
      <c r="AT9" s="24">
        <f t="shared" si="12"/>
        <v>-800000</v>
      </c>
      <c r="AU9" s="18">
        <f t="shared" si="39"/>
        <v>0</v>
      </c>
      <c r="AV9" s="132"/>
      <c r="AW9" s="131">
        <f t="shared" si="13"/>
        <v>-800000</v>
      </c>
      <c r="AX9" s="18">
        <f t="shared" si="40"/>
        <v>0</v>
      </c>
      <c r="AY9" s="26">
        <v>850000</v>
      </c>
      <c r="AZ9" s="16"/>
      <c r="BA9" s="24">
        <f t="shared" si="14"/>
        <v>-850000</v>
      </c>
      <c r="BB9" s="18">
        <f t="shared" si="41"/>
        <v>0</v>
      </c>
      <c r="BC9" s="132"/>
      <c r="BD9" s="131">
        <f t="shared" si="15"/>
        <v>-850000</v>
      </c>
      <c r="BE9" s="18">
        <f t="shared" si="42"/>
        <v>0</v>
      </c>
      <c r="BF9" s="26">
        <v>876750</v>
      </c>
      <c r="BG9" s="16">
        <v>0</v>
      </c>
      <c r="BH9" s="24">
        <f t="shared" si="16"/>
        <v>-876750</v>
      </c>
      <c r="BI9" s="18">
        <f t="shared" si="43"/>
        <v>0</v>
      </c>
      <c r="BJ9" s="132"/>
      <c r="BK9" s="131">
        <f t="shared" si="17"/>
        <v>-876750</v>
      </c>
      <c r="BL9" s="18">
        <f t="shared" si="44"/>
        <v>0</v>
      </c>
      <c r="BM9" s="26">
        <v>876750</v>
      </c>
      <c r="BN9" s="16">
        <v>0</v>
      </c>
      <c r="BO9" s="24">
        <f t="shared" si="18"/>
        <v>-876750</v>
      </c>
      <c r="BP9" s="18">
        <f t="shared" si="45"/>
        <v>0</v>
      </c>
      <c r="BQ9" s="132">
        <v>0</v>
      </c>
      <c r="BR9" s="131">
        <f t="shared" si="19"/>
        <v>-876750</v>
      </c>
      <c r="BS9" s="18">
        <f t="shared" si="46"/>
        <v>0</v>
      </c>
      <c r="BT9" s="23">
        <f t="shared" si="20"/>
        <v>7153500</v>
      </c>
      <c r="BU9" s="23">
        <f t="shared" si="21"/>
        <v>98869.819999999992</v>
      </c>
      <c r="BV9" s="24">
        <f t="shared" si="22"/>
        <v>-7054630.1799999997</v>
      </c>
      <c r="BW9" s="18">
        <f t="shared" si="47"/>
        <v>1.3821181239952469E-2</v>
      </c>
      <c r="BX9" s="16">
        <f t="shared" si="23"/>
        <v>98870.14</v>
      </c>
      <c r="BY9" s="25">
        <f t="shared" si="24"/>
        <v>-7054629.8600000003</v>
      </c>
      <c r="BZ9" s="18">
        <f t="shared" si="48"/>
        <v>1.3821225973299784E-2</v>
      </c>
      <c r="CA9" s="16">
        <f t="shared" si="25"/>
        <v>9886.982</v>
      </c>
      <c r="CB9" s="26">
        <f t="shared" si="26"/>
        <v>9887.0139999999992</v>
      </c>
    </row>
    <row r="10" spans="1:80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27"/>
        <v>0.53262757049486464</v>
      </c>
      <c r="F10" s="28">
        <v>722856.95</v>
      </c>
      <c r="G10" s="25">
        <f t="shared" si="1"/>
        <v>-615893.05000000005</v>
      </c>
      <c r="H10" s="108">
        <f t="shared" si="28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29"/>
        <v>0.57890987114845938</v>
      </c>
      <c r="M10" s="28">
        <v>628695.55000000005</v>
      </c>
      <c r="N10" s="25">
        <f t="shared" si="3"/>
        <v>-710054.45</v>
      </c>
      <c r="O10" s="18">
        <f t="shared" si="30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31"/>
        <v>1.1892632306255835</v>
      </c>
      <c r="T10" s="28">
        <v>252033.57</v>
      </c>
      <c r="U10" s="25">
        <f t="shared" si="5"/>
        <v>-1086716.43</v>
      </c>
      <c r="V10" s="18">
        <f t="shared" si="32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33"/>
        <v>1.1825044481792717</v>
      </c>
      <c r="AA10" s="28">
        <v>2214145.9300000002</v>
      </c>
      <c r="AB10" s="25">
        <f t="shared" si="7"/>
        <v>875395.93000000017</v>
      </c>
      <c r="AC10" s="47">
        <f t="shared" si="34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35"/>
        <v>0.32929548459383756</v>
      </c>
      <c r="AH10" s="28">
        <v>756675.73</v>
      </c>
      <c r="AI10" s="25">
        <f t="shared" si="9"/>
        <v>-582074.27</v>
      </c>
      <c r="AJ10" s="18">
        <f t="shared" si="36"/>
        <v>0.56521062931839405</v>
      </c>
      <c r="AK10" s="23">
        <v>1338750</v>
      </c>
      <c r="AL10" s="16">
        <v>272694.53000000003</v>
      </c>
      <c r="AM10" s="24">
        <f t="shared" si="10"/>
        <v>-1066055.47</v>
      </c>
      <c r="AN10" s="126">
        <f t="shared" si="37"/>
        <v>0.20369339309056958</v>
      </c>
      <c r="AO10" s="132">
        <v>104563.37</v>
      </c>
      <c r="AP10" s="131">
        <f t="shared" si="11"/>
        <v>-1234186.6299999999</v>
      </c>
      <c r="AQ10" s="126">
        <f t="shared" si="38"/>
        <v>7.8105225023342661E-2</v>
      </c>
      <c r="AR10" s="23">
        <v>1338750</v>
      </c>
      <c r="AS10" s="16">
        <v>431354.72</v>
      </c>
      <c r="AT10" s="24">
        <f t="shared" si="12"/>
        <v>-907395.28</v>
      </c>
      <c r="AU10" s="18">
        <f t="shared" si="39"/>
        <v>0.32220707376283847</v>
      </c>
      <c r="AV10" s="132">
        <v>212083.33</v>
      </c>
      <c r="AW10" s="131">
        <f t="shared" si="13"/>
        <v>-1126666.67</v>
      </c>
      <c r="AX10" s="18">
        <f t="shared" si="40"/>
        <v>0.15841892063492063</v>
      </c>
      <c r="AY10" s="23">
        <v>1338750</v>
      </c>
      <c r="AZ10" s="16">
        <v>353870.31</v>
      </c>
      <c r="BA10" s="24">
        <f t="shared" si="14"/>
        <v>-984879.69</v>
      </c>
      <c r="BB10" s="18">
        <f t="shared" si="41"/>
        <v>0.2643288963585434</v>
      </c>
      <c r="BC10" s="132">
        <v>509808.8</v>
      </c>
      <c r="BD10" s="131">
        <f t="shared" si="15"/>
        <v>-828941.2</v>
      </c>
      <c r="BE10" s="18">
        <f t="shared" si="42"/>
        <v>0.38080956115779646</v>
      </c>
      <c r="BF10" s="23">
        <v>1338750</v>
      </c>
      <c r="BG10" s="16">
        <v>1210437.0286206896</v>
      </c>
      <c r="BH10" s="24">
        <f t="shared" si="16"/>
        <v>-128312.97137931036</v>
      </c>
      <c r="BI10" s="18">
        <f t="shared" si="43"/>
        <v>0.90415464322740591</v>
      </c>
      <c r="BJ10" s="132">
        <v>1267586.7</v>
      </c>
      <c r="BK10" s="131">
        <f t="shared" si="17"/>
        <v>-71163.300000000047</v>
      </c>
      <c r="BL10" s="18">
        <f t="shared" si="44"/>
        <v>0.94684347338935571</v>
      </c>
      <c r="BM10" s="23">
        <v>1338750</v>
      </c>
      <c r="BN10" s="16">
        <v>126976.20387931036</v>
      </c>
      <c r="BO10" s="24">
        <f t="shared" si="18"/>
        <v>-1211773.7961206897</v>
      </c>
      <c r="BP10" s="18">
        <f t="shared" si="45"/>
        <v>9.4846837631604369E-2</v>
      </c>
      <c r="BQ10" s="132">
        <v>117364.05611860591</v>
      </c>
      <c r="BR10" s="131">
        <f t="shared" si="19"/>
        <v>-1221385.9438813941</v>
      </c>
      <c r="BS10" s="18">
        <f t="shared" si="46"/>
        <v>8.7666895326689753E-2</v>
      </c>
      <c r="BT10" s="23">
        <f t="shared" si="20"/>
        <v>13387500</v>
      </c>
      <c r="BU10" s="23">
        <f t="shared" si="21"/>
        <v>7372475.6486206893</v>
      </c>
      <c r="BV10" s="24">
        <f t="shared" si="22"/>
        <v>-6015024.3513793107</v>
      </c>
      <c r="BW10" s="18">
        <f t="shared" si="47"/>
        <v>0.55069846114813736</v>
      </c>
      <c r="BX10" s="16">
        <f t="shared" si="23"/>
        <v>6785813.9861186063</v>
      </c>
      <c r="BY10" s="25">
        <f t="shared" si="24"/>
        <v>-6601686.0138813937</v>
      </c>
      <c r="BZ10" s="18">
        <f t="shared" si="48"/>
        <v>0.50687686170820589</v>
      </c>
      <c r="CA10" s="16">
        <f t="shared" si="25"/>
        <v>737247.56486206898</v>
      </c>
      <c r="CB10" s="26">
        <f t="shared" si="26"/>
        <v>678581.39861186058</v>
      </c>
    </row>
    <row r="11" spans="1:80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27"/>
        <v>1.5186024201680672</v>
      </c>
      <c r="F11" s="28">
        <v>927392.51</v>
      </c>
      <c r="G11" s="25">
        <f t="shared" si="1"/>
        <v>-411357.49</v>
      </c>
      <c r="H11" s="108">
        <f t="shared" si="28"/>
        <v>0.69273016619981331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29"/>
        <v>1.2767597908496731</v>
      </c>
      <c r="M11" s="28">
        <v>365024.32</v>
      </c>
      <c r="N11" s="25">
        <f t="shared" si="3"/>
        <v>-973725.67999999993</v>
      </c>
      <c r="O11" s="18">
        <f t="shared" si="30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31"/>
        <v>0.45679382259570495</v>
      </c>
      <c r="T11" s="28">
        <v>615830.28</v>
      </c>
      <c r="U11" s="25">
        <f t="shared" si="5"/>
        <v>-722919.72</v>
      </c>
      <c r="V11" s="18">
        <f t="shared" si="32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33"/>
        <v>0.27551929785247437</v>
      </c>
      <c r="AA11" s="28">
        <v>381124.19</v>
      </c>
      <c r="AB11" s="25">
        <f t="shared" si="7"/>
        <v>-957625.81</v>
      </c>
      <c r="AC11" s="18">
        <f t="shared" si="34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35"/>
        <v>0.10908490009337068</v>
      </c>
      <c r="AH11" s="28">
        <v>125362.71</v>
      </c>
      <c r="AI11" s="25">
        <f t="shared" si="9"/>
        <v>-1213387.29</v>
      </c>
      <c r="AJ11" s="18">
        <f t="shared" si="36"/>
        <v>9.364161344537815E-2</v>
      </c>
      <c r="AK11" s="23">
        <v>1338750</v>
      </c>
      <c r="AL11" s="16">
        <v>1501000.36</v>
      </c>
      <c r="AM11" s="24">
        <f t="shared" si="10"/>
        <v>162250.3600000001</v>
      </c>
      <c r="AN11" s="47">
        <f t="shared" si="37"/>
        <v>1.1211954136321196</v>
      </c>
      <c r="AO11" s="132">
        <v>951284.35</v>
      </c>
      <c r="AP11" s="131">
        <f t="shared" si="11"/>
        <v>-387465.65</v>
      </c>
      <c r="AQ11" s="126">
        <f t="shared" si="38"/>
        <v>0.71057654528478054</v>
      </c>
      <c r="AR11" s="23">
        <v>1338750</v>
      </c>
      <c r="AS11" s="16">
        <v>1325161.8400000001</v>
      </c>
      <c r="AT11" s="24">
        <f t="shared" si="12"/>
        <v>-13588.159999999916</v>
      </c>
      <c r="AU11" s="18">
        <f t="shared" si="39"/>
        <v>0.98985011391223166</v>
      </c>
      <c r="AV11" s="132">
        <v>935934.95</v>
      </c>
      <c r="AW11" s="131">
        <f t="shared" si="13"/>
        <v>-402815.05000000005</v>
      </c>
      <c r="AX11" s="18">
        <f t="shared" si="40"/>
        <v>0.69911107376283843</v>
      </c>
      <c r="AY11" s="23">
        <v>1338750</v>
      </c>
      <c r="AZ11" s="16">
        <v>967881.18</v>
      </c>
      <c r="BA11" s="24">
        <f t="shared" si="14"/>
        <v>-370868.81999999995</v>
      </c>
      <c r="BB11" s="18">
        <f t="shared" si="41"/>
        <v>0.72297380392156863</v>
      </c>
      <c r="BC11" s="132">
        <v>725416.14</v>
      </c>
      <c r="BD11" s="131">
        <f t="shared" si="15"/>
        <v>-613333.86</v>
      </c>
      <c r="BE11" s="18">
        <f t="shared" si="42"/>
        <v>0.54186079551820732</v>
      </c>
      <c r="BF11" s="23">
        <v>1338750</v>
      </c>
      <c r="BG11" s="16">
        <v>805066.06034482759</v>
      </c>
      <c r="BH11" s="24">
        <f t="shared" si="16"/>
        <v>-533683.93965517241</v>
      </c>
      <c r="BI11" s="18">
        <f t="shared" si="43"/>
        <v>0.60135653433787306</v>
      </c>
      <c r="BJ11" s="132">
        <v>848729.08</v>
      </c>
      <c r="BK11" s="131">
        <f t="shared" si="17"/>
        <v>-490020.92000000004</v>
      </c>
      <c r="BL11" s="18">
        <f t="shared" si="44"/>
        <v>0.63397130158730153</v>
      </c>
      <c r="BM11" s="23">
        <v>1338750</v>
      </c>
      <c r="BN11" s="16">
        <v>44193.90517241379</v>
      </c>
      <c r="BO11" s="24">
        <f t="shared" si="18"/>
        <v>-1294556.0948275863</v>
      </c>
      <c r="BP11" s="18">
        <f t="shared" si="45"/>
        <v>3.301132039022505E-2</v>
      </c>
      <c r="BQ11" s="132">
        <v>22267.988416065804</v>
      </c>
      <c r="BR11" s="131">
        <f t="shared" si="19"/>
        <v>-1316482.0115839343</v>
      </c>
      <c r="BS11" s="18">
        <f t="shared" si="46"/>
        <v>1.6633418051216285E-2</v>
      </c>
      <c r="BT11" s="23">
        <f t="shared" si="20"/>
        <v>13387500</v>
      </c>
      <c r="BU11" s="23">
        <f t="shared" si="21"/>
        <v>9467822.2003448289</v>
      </c>
      <c r="BV11" s="24">
        <f t="shared" si="22"/>
        <v>-3919677.7996551711</v>
      </c>
      <c r="BW11" s="18">
        <f t="shared" si="47"/>
        <v>0.70721360973630842</v>
      </c>
      <c r="BX11" s="16">
        <f t="shared" si="23"/>
        <v>5898366.5184160657</v>
      </c>
      <c r="BY11" s="25">
        <f t="shared" si="24"/>
        <v>-7489133.4815839343</v>
      </c>
      <c r="BZ11" s="18">
        <f t="shared" si="48"/>
        <v>0.44058760174909922</v>
      </c>
      <c r="CA11" s="16">
        <f t="shared" si="25"/>
        <v>946782.22003448289</v>
      </c>
      <c r="CB11" s="26">
        <f t="shared" si="26"/>
        <v>589836.6518416066</v>
      </c>
    </row>
    <row r="12" spans="1:80" x14ac:dyDescent="0.3">
      <c r="A12" s="22" t="s">
        <v>54</v>
      </c>
      <c r="B12" s="23"/>
      <c r="C12" s="16"/>
      <c r="D12" s="24"/>
      <c r="E12" s="47"/>
      <c r="F12" s="28"/>
      <c r="G12" s="25"/>
      <c r="H12" s="108"/>
      <c r="I12" s="109"/>
      <c r="J12" s="107"/>
      <c r="K12" s="24"/>
      <c r="L12" s="105"/>
      <c r="M12" s="28"/>
      <c r="N12" s="25"/>
      <c r="O12" s="18"/>
      <c r="P12" s="23"/>
      <c r="Q12" s="16"/>
      <c r="R12" s="24"/>
      <c r="S12" s="18"/>
      <c r="T12" s="28"/>
      <c r="U12" s="25"/>
      <c r="V12" s="18"/>
      <c r="W12" s="23"/>
      <c r="X12" s="16"/>
      <c r="Y12" s="24"/>
      <c r="Z12" s="18"/>
      <c r="AA12" s="28"/>
      <c r="AB12" s="25"/>
      <c r="AC12" s="18"/>
      <c r="AD12" s="23"/>
      <c r="AE12" s="16"/>
      <c r="AF12" s="24"/>
      <c r="AG12" s="18"/>
      <c r="AH12" s="28"/>
      <c r="AI12" s="25"/>
      <c r="AJ12" s="18"/>
      <c r="AK12" s="23">
        <v>100000</v>
      </c>
      <c r="AL12" s="16">
        <v>77926.22</v>
      </c>
      <c r="AM12" s="24">
        <f t="shared" si="10"/>
        <v>-22073.78</v>
      </c>
      <c r="AN12" s="126">
        <f t="shared" si="37"/>
        <v>0.77926220000000002</v>
      </c>
      <c r="AO12" s="132">
        <v>96150.06</v>
      </c>
      <c r="AP12" s="131">
        <f t="shared" si="11"/>
        <v>-3849.9400000000023</v>
      </c>
      <c r="AQ12" s="126">
        <f t="shared" si="38"/>
        <v>0.96150059999999993</v>
      </c>
      <c r="AR12" s="23">
        <v>150000</v>
      </c>
      <c r="AS12" s="16">
        <v>19318.25</v>
      </c>
      <c r="AT12" s="24">
        <f t="shared" si="12"/>
        <v>-130681.75</v>
      </c>
      <c r="AU12" s="18">
        <f t="shared" si="39"/>
        <v>0.12878833333333334</v>
      </c>
      <c r="AV12" s="132"/>
      <c r="AW12" s="131">
        <f t="shared" si="13"/>
        <v>-150000</v>
      </c>
      <c r="AX12" s="18">
        <f t="shared" si="40"/>
        <v>0</v>
      </c>
      <c r="AY12" s="23">
        <v>200000</v>
      </c>
      <c r="AZ12" s="16"/>
      <c r="BA12" s="24">
        <f t="shared" si="14"/>
        <v>-200000</v>
      </c>
      <c r="BB12" s="18">
        <f t="shared" si="41"/>
        <v>0</v>
      </c>
      <c r="BC12" s="132"/>
      <c r="BD12" s="131">
        <f t="shared" si="15"/>
        <v>-200000</v>
      </c>
      <c r="BE12" s="18">
        <f t="shared" si="42"/>
        <v>0</v>
      </c>
      <c r="BF12" s="23">
        <v>250000</v>
      </c>
      <c r="BG12" s="16">
        <v>0</v>
      </c>
      <c r="BH12" s="24">
        <f t="shared" si="16"/>
        <v>-250000</v>
      </c>
      <c r="BI12" s="18">
        <f t="shared" si="43"/>
        <v>0</v>
      </c>
      <c r="BJ12" s="132">
        <v>9860.5</v>
      </c>
      <c r="BK12" s="131">
        <f t="shared" si="17"/>
        <v>-240139.5</v>
      </c>
      <c r="BL12" s="18">
        <f t="shared" si="44"/>
        <v>3.9441999999999998E-2</v>
      </c>
      <c r="BM12" s="23">
        <v>250000</v>
      </c>
      <c r="BN12" s="16">
        <v>129582.60103448277</v>
      </c>
      <c r="BO12" s="24">
        <f t="shared" si="18"/>
        <v>-120417.39896551723</v>
      </c>
      <c r="BP12" s="18">
        <f t="shared" si="45"/>
        <v>0.51833040413793108</v>
      </c>
      <c r="BQ12" s="132">
        <v>115815.50224999999</v>
      </c>
      <c r="BR12" s="131">
        <f t="shared" si="19"/>
        <v>-134184.49775000001</v>
      </c>
      <c r="BS12" s="18">
        <f t="shared" si="46"/>
        <v>0.46326200899999997</v>
      </c>
      <c r="BT12" s="23">
        <f t="shared" si="20"/>
        <v>950000</v>
      </c>
      <c r="BU12" s="23">
        <f t="shared" si="21"/>
        <v>97244.47</v>
      </c>
      <c r="BV12" s="24">
        <f t="shared" si="22"/>
        <v>-852755.53</v>
      </c>
      <c r="BW12" s="18">
        <f t="shared" si="47"/>
        <v>0.1023626</v>
      </c>
      <c r="BX12" s="16">
        <f t="shared" si="23"/>
        <v>221826.06224999999</v>
      </c>
      <c r="BY12" s="25">
        <f t="shared" si="24"/>
        <v>-728173.93775000004</v>
      </c>
      <c r="BZ12" s="18">
        <f t="shared" si="48"/>
        <v>0.23350111815789473</v>
      </c>
      <c r="CA12" s="16">
        <f t="shared" si="25"/>
        <v>9724.4470000000001</v>
      </c>
      <c r="CB12" s="26">
        <f t="shared" si="26"/>
        <v>22182.606225</v>
      </c>
    </row>
    <row r="13" spans="1:80" x14ac:dyDescent="0.3">
      <c r="A13" s="22" t="s">
        <v>16</v>
      </c>
      <c r="B13" s="23">
        <v>1338750</v>
      </c>
      <c r="C13" s="16"/>
      <c r="D13" s="24">
        <f t="shared" si="0"/>
        <v>-1338750</v>
      </c>
      <c r="E13" s="18">
        <f t="shared" si="27"/>
        <v>0</v>
      </c>
      <c r="F13" s="28"/>
      <c r="G13" s="25">
        <f t="shared" si="1"/>
        <v>-1338750</v>
      </c>
      <c r="H13" s="18">
        <f t="shared" si="28"/>
        <v>0</v>
      </c>
      <c r="I13" s="23">
        <v>1338750</v>
      </c>
      <c r="J13" s="16">
        <v>8745.0499999999993</v>
      </c>
      <c r="K13" s="24">
        <f t="shared" si="2"/>
        <v>-1330004.95</v>
      </c>
      <c r="L13" s="18">
        <f t="shared" si="29"/>
        <v>6.5322502334267032E-3</v>
      </c>
      <c r="M13" s="28">
        <v>11537.74</v>
      </c>
      <c r="N13" s="25">
        <f t="shared" si="3"/>
        <v>-1327212.26</v>
      </c>
      <c r="O13" s="18">
        <f t="shared" si="30"/>
        <v>8.6182931839402423E-3</v>
      </c>
      <c r="P13" s="23">
        <v>1338750</v>
      </c>
      <c r="Q13" s="16">
        <v>120604.3</v>
      </c>
      <c r="R13" s="24">
        <f t="shared" si="4"/>
        <v>-1218145.7</v>
      </c>
      <c r="S13" s="18">
        <f t="shared" si="31"/>
        <v>9.0087245564892629E-2</v>
      </c>
      <c r="T13" s="28">
        <v>89914.14</v>
      </c>
      <c r="U13" s="25">
        <f t="shared" si="5"/>
        <v>-1248835.8600000001</v>
      </c>
      <c r="V13" s="18">
        <f t="shared" si="32"/>
        <v>6.7162756302521012E-2</v>
      </c>
      <c r="W13" s="23">
        <v>1338750</v>
      </c>
      <c r="X13" s="16">
        <v>51094.76</v>
      </c>
      <c r="Y13" s="24">
        <f t="shared" si="6"/>
        <v>-1287655.24</v>
      </c>
      <c r="Z13" s="18">
        <f t="shared" si="33"/>
        <v>3.8166020541549953E-2</v>
      </c>
      <c r="AA13" s="28"/>
      <c r="AB13" s="25">
        <f t="shared" si="7"/>
        <v>-1338750</v>
      </c>
      <c r="AC13" s="18">
        <f t="shared" si="34"/>
        <v>0</v>
      </c>
      <c r="AD13" s="23">
        <v>1338750</v>
      </c>
      <c r="AE13" s="16">
        <v>46220.78</v>
      </c>
      <c r="AF13" s="24">
        <f t="shared" si="8"/>
        <v>-1292529.22</v>
      </c>
      <c r="AG13" s="18">
        <f t="shared" si="35"/>
        <v>3.4525325863678805E-2</v>
      </c>
      <c r="AH13" s="28">
        <v>214363.17</v>
      </c>
      <c r="AI13" s="25">
        <f t="shared" si="9"/>
        <v>-1124386.83</v>
      </c>
      <c r="AJ13" s="18">
        <f t="shared" si="36"/>
        <v>0.1601218823529412</v>
      </c>
      <c r="AK13" s="23">
        <v>1338750</v>
      </c>
      <c r="AL13" s="16">
        <v>143506.5</v>
      </c>
      <c r="AM13" s="24">
        <f t="shared" si="10"/>
        <v>-1195243.5</v>
      </c>
      <c r="AN13" s="126">
        <f t="shared" si="37"/>
        <v>0.10719439775910364</v>
      </c>
      <c r="AO13" s="132">
        <v>111180.83</v>
      </c>
      <c r="AP13" s="131">
        <f t="shared" si="11"/>
        <v>-1227569.17</v>
      </c>
      <c r="AQ13" s="126">
        <f t="shared" si="38"/>
        <v>8.3048239028944912E-2</v>
      </c>
      <c r="AR13" s="23">
        <v>1338750</v>
      </c>
      <c r="AS13" s="16">
        <v>218278.76</v>
      </c>
      <c r="AT13" s="24">
        <f t="shared" si="12"/>
        <v>-1120471.24</v>
      </c>
      <c r="AU13" s="18">
        <f t="shared" si="39"/>
        <v>0.16304669281045753</v>
      </c>
      <c r="AV13" s="132">
        <v>22367.5</v>
      </c>
      <c r="AW13" s="131">
        <f t="shared" si="13"/>
        <v>-1316382.5</v>
      </c>
      <c r="AX13" s="18">
        <f t="shared" si="40"/>
        <v>1.6707749766573295E-2</v>
      </c>
      <c r="AY13" s="23">
        <v>1338750</v>
      </c>
      <c r="AZ13" s="16"/>
      <c r="BA13" s="24">
        <f t="shared" si="14"/>
        <v>-1338750</v>
      </c>
      <c r="BB13" s="18">
        <f t="shared" si="41"/>
        <v>0</v>
      </c>
      <c r="BC13" s="132">
        <v>14093.88</v>
      </c>
      <c r="BD13" s="131">
        <f t="shared" si="15"/>
        <v>-1324656.1200000001</v>
      </c>
      <c r="BE13" s="18">
        <f t="shared" si="42"/>
        <v>1.0527641456582632E-2</v>
      </c>
      <c r="BF13" s="23">
        <v>1338750</v>
      </c>
      <c r="BG13" s="16">
        <v>2294.8275862068967</v>
      </c>
      <c r="BH13" s="24">
        <f t="shared" si="16"/>
        <v>-1336455.1724137932</v>
      </c>
      <c r="BI13" s="18">
        <f t="shared" si="43"/>
        <v>1.7141569271386717E-3</v>
      </c>
      <c r="BJ13" s="132">
        <v>1493.45</v>
      </c>
      <c r="BK13" s="131">
        <f t="shared" si="17"/>
        <v>-1337256.55</v>
      </c>
      <c r="BL13" s="18">
        <f t="shared" si="44"/>
        <v>1.1155555555555556E-3</v>
      </c>
      <c r="BM13" s="23">
        <v>1338750</v>
      </c>
      <c r="BN13" s="16">
        <v>709682.00862068974</v>
      </c>
      <c r="BO13" s="24">
        <f t="shared" si="18"/>
        <v>-629067.99137931026</v>
      </c>
      <c r="BP13" s="18">
        <f t="shared" si="45"/>
        <v>0.53010794294729391</v>
      </c>
      <c r="BQ13" s="132">
        <v>5031.7119997199998</v>
      </c>
      <c r="BR13" s="131">
        <f t="shared" si="19"/>
        <v>-1333718.28800028</v>
      </c>
      <c r="BS13" s="18">
        <f t="shared" si="46"/>
        <v>3.7585150324705879E-3</v>
      </c>
      <c r="BT13" s="23">
        <f t="shared" si="20"/>
        <v>13387500</v>
      </c>
      <c r="BU13" s="23">
        <f t="shared" si="21"/>
        <v>590744.97758620686</v>
      </c>
      <c r="BV13" s="24">
        <f t="shared" si="22"/>
        <v>-12796755.022413794</v>
      </c>
      <c r="BW13" s="18">
        <f t="shared" si="47"/>
        <v>4.4126608970024787E-2</v>
      </c>
      <c r="BX13" s="16">
        <f t="shared" si="23"/>
        <v>469982.4219997201</v>
      </c>
      <c r="BY13" s="25">
        <f t="shared" si="24"/>
        <v>-12917517.578000279</v>
      </c>
      <c r="BZ13" s="18">
        <f t="shared" si="48"/>
        <v>3.5106063267952951E-2</v>
      </c>
      <c r="CA13" s="16">
        <f t="shared" si="25"/>
        <v>59074.497758620688</v>
      </c>
      <c r="CB13" s="26">
        <f t="shared" si="26"/>
        <v>46998.24219997201</v>
      </c>
    </row>
    <row r="14" spans="1:80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si="27"/>
        <v>4.5798640522875821E-2</v>
      </c>
      <c r="F14" s="28">
        <v>100067.31</v>
      </c>
      <c r="G14" s="25">
        <f t="shared" si="1"/>
        <v>-1238682.69</v>
      </c>
      <c r="H14" s="18">
        <f t="shared" si="28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si="29"/>
        <v>0.14859651914098973</v>
      </c>
      <c r="M14" s="28">
        <v>70010.070000000007</v>
      </c>
      <c r="N14" s="25">
        <f t="shared" si="3"/>
        <v>-1268739.93</v>
      </c>
      <c r="O14" s="18">
        <f t="shared" si="30"/>
        <v>5.2295103641456585E-2</v>
      </c>
      <c r="P14" s="23">
        <v>1338750</v>
      </c>
      <c r="Q14" s="16">
        <v>292575.34999999998</v>
      </c>
      <c r="R14" s="24">
        <f t="shared" si="4"/>
        <v>-1046174.65</v>
      </c>
      <c r="S14" s="18">
        <f t="shared" si="31"/>
        <v>0.21854367880485526</v>
      </c>
      <c r="T14" s="28">
        <v>315180.46999999997</v>
      </c>
      <c r="U14" s="25">
        <f t="shared" si="5"/>
        <v>-1023569.53</v>
      </c>
      <c r="V14" s="18">
        <f t="shared" si="32"/>
        <v>0.23542892250233424</v>
      </c>
      <c r="W14" s="23">
        <v>1338750</v>
      </c>
      <c r="X14" s="16">
        <v>573857.67000000004</v>
      </c>
      <c r="Y14" s="24">
        <f t="shared" si="6"/>
        <v>-764892.33</v>
      </c>
      <c r="Z14" s="18">
        <f t="shared" si="33"/>
        <v>0.42865185434173675</v>
      </c>
      <c r="AA14" s="28">
        <v>274355.09000000003</v>
      </c>
      <c r="AB14" s="25">
        <f t="shared" si="7"/>
        <v>-1064394.9099999999</v>
      </c>
      <c r="AC14" s="18">
        <f t="shared" si="34"/>
        <v>0.20493377404295055</v>
      </c>
      <c r="AD14" s="23">
        <v>1338750</v>
      </c>
      <c r="AE14" s="16">
        <v>488350.75</v>
      </c>
      <c r="AF14" s="24">
        <f t="shared" si="8"/>
        <v>-850399.25</v>
      </c>
      <c r="AG14" s="18">
        <f t="shared" si="35"/>
        <v>0.36478113912231558</v>
      </c>
      <c r="AH14" s="28">
        <v>1278513.6599999999</v>
      </c>
      <c r="AI14" s="25">
        <f t="shared" si="9"/>
        <v>-60236.340000000084</v>
      </c>
      <c r="AJ14" s="18">
        <f t="shared" si="36"/>
        <v>0.95500553501400554</v>
      </c>
      <c r="AK14" s="23">
        <v>1338750</v>
      </c>
      <c r="AL14" s="16">
        <v>1840443.58</v>
      </c>
      <c r="AM14" s="24">
        <f t="shared" si="10"/>
        <v>501693.58000000007</v>
      </c>
      <c r="AN14" s="47">
        <f t="shared" si="37"/>
        <v>1.374747772175537</v>
      </c>
      <c r="AO14" s="132">
        <v>2176517.37</v>
      </c>
      <c r="AP14" s="131">
        <f t="shared" si="11"/>
        <v>837767.37000000011</v>
      </c>
      <c r="AQ14" s="47">
        <f t="shared" si="38"/>
        <v>1.6257832829131653</v>
      </c>
      <c r="AR14" s="23">
        <v>1338750</v>
      </c>
      <c r="AS14" s="16">
        <v>940159.19</v>
      </c>
      <c r="AT14" s="24">
        <f t="shared" si="12"/>
        <v>-398590.81000000006</v>
      </c>
      <c r="AU14" s="18">
        <f t="shared" si="39"/>
        <v>0.7022664351073763</v>
      </c>
      <c r="AV14" s="132">
        <v>876611.35</v>
      </c>
      <c r="AW14" s="131">
        <f t="shared" si="13"/>
        <v>-462138.65</v>
      </c>
      <c r="AX14" s="18">
        <f t="shared" si="40"/>
        <v>0.65479839402427631</v>
      </c>
      <c r="AY14" s="23">
        <v>1338750</v>
      </c>
      <c r="AZ14" s="16">
        <v>1346687.84</v>
      </c>
      <c r="BA14" s="24">
        <f t="shared" si="14"/>
        <v>7937.8400000000838</v>
      </c>
      <c r="BB14" s="47">
        <f t="shared" si="41"/>
        <v>1.0059292922502334</v>
      </c>
      <c r="BC14" s="132">
        <v>1369594.22</v>
      </c>
      <c r="BD14" s="131">
        <f t="shared" si="15"/>
        <v>30844.219999999972</v>
      </c>
      <c r="BE14" s="47">
        <f t="shared" si="42"/>
        <v>1.0230395667600374</v>
      </c>
      <c r="BF14" s="23">
        <v>1338750</v>
      </c>
      <c r="BG14" s="16">
        <v>335072.74137931038</v>
      </c>
      <c r="BH14" s="24">
        <f t="shared" si="16"/>
        <v>-1003677.2586206896</v>
      </c>
      <c r="BI14" s="18">
        <f t="shared" si="43"/>
        <v>0.25028776200135228</v>
      </c>
      <c r="BJ14" s="132">
        <v>378291.21</v>
      </c>
      <c r="BK14" s="131">
        <f t="shared" si="17"/>
        <v>-960458.79</v>
      </c>
      <c r="BL14" s="18">
        <f t="shared" si="44"/>
        <v>0.28257046498599442</v>
      </c>
      <c r="BM14" s="23">
        <v>1338750</v>
      </c>
      <c r="BN14" s="16">
        <v>218270.75000000003</v>
      </c>
      <c r="BO14" s="24">
        <f t="shared" si="18"/>
        <v>-1120479.25</v>
      </c>
      <c r="BP14" s="18">
        <f t="shared" si="45"/>
        <v>0.16304070961718023</v>
      </c>
      <c r="BQ14" s="132">
        <v>209071.54122742952</v>
      </c>
      <c r="BR14" s="131">
        <f t="shared" si="19"/>
        <v>-1129678.4587725704</v>
      </c>
      <c r="BS14" s="18">
        <f t="shared" si="46"/>
        <v>0.15616921847053558</v>
      </c>
      <c r="BT14" s="23">
        <f t="shared" si="20"/>
        <v>13387500</v>
      </c>
      <c r="BU14" s="23">
        <f t="shared" si="21"/>
        <v>6077393.6413793107</v>
      </c>
      <c r="BV14" s="24">
        <f t="shared" si="22"/>
        <v>-7310106.3586206893</v>
      </c>
      <c r="BW14" s="18">
        <f t="shared" si="47"/>
        <v>0.45396030934672721</v>
      </c>
      <c r="BX14" s="16">
        <f t="shared" si="23"/>
        <v>7048212.2912274282</v>
      </c>
      <c r="BY14" s="25">
        <f t="shared" si="24"/>
        <v>-6339287.7087725718</v>
      </c>
      <c r="BZ14" s="18">
        <f t="shared" si="48"/>
        <v>0.52647710858841668</v>
      </c>
      <c r="CA14" s="16">
        <f t="shared" si="25"/>
        <v>607739.36413793103</v>
      </c>
      <c r="CB14" s="26">
        <f t="shared" si="26"/>
        <v>704821.22912274278</v>
      </c>
    </row>
    <row r="15" spans="1:80" x14ac:dyDescent="0.3">
      <c r="A15" s="22" t="s">
        <v>17</v>
      </c>
      <c r="B15" s="23"/>
      <c r="C15" s="16">
        <v>87046.92</v>
      </c>
      <c r="D15" s="24">
        <f>+C15-B15</f>
        <v>87046.92</v>
      </c>
      <c r="E15" s="18"/>
      <c r="F15" s="28"/>
      <c r="G15" s="25">
        <f>+F15-B15</f>
        <v>0</v>
      </c>
      <c r="H15" s="18"/>
      <c r="I15" s="23"/>
      <c r="J15" s="16">
        <v>115746.49</v>
      </c>
      <c r="K15" s="24">
        <f>+J15-I15</f>
        <v>115746.49</v>
      </c>
      <c r="L15" s="18"/>
      <c r="M15" s="28"/>
      <c r="N15" s="25">
        <f>+M15-I15</f>
        <v>0</v>
      </c>
      <c r="O15" s="18"/>
      <c r="P15" s="23"/>
      <c r="Q15" s="16">
        <v>91092.4</v>
      </c>
      <c r="R15" s="24">
        <f>+Q15-P15</f>
        <v>91092.4</v>
      </c>
      <c r="S15" s="18"/>
      <c r="T15" s="28"/>
      <c r="U15" s="25">
        <f>+T15-P15</f>
        <v>0</v>
      </c>
      <c r="V15" s="18"/>
      <c r="W15" s="23"/>
      <c r="X15" s="16"/>
      <c r="Y15" s="24">
        <f>+X15-W15</f>
        <v>0</v>
      </c>
      <c r="Z15" s="18"/>
      <c r="AA15" s="28"/>
      <c r="AB15" s="25">
        <f>+AA15-W15</f>
        <v>0</v>
      </c>
      <c r="AC15" s="18"/>
      <c r="AD15" s="23"/>
      <c r="AE15" s="16">
        <v>0</v>
      </c>
      <c r="AF15" s="24">
        <f>+AE15-AD15</f>
        <v>0</v>
      </c>
      <c r="AG15" s="18"/>
      <c r="AH15" s="28"/>
      <c r="AI15" s="25">
        <f>+AH15-AD15</f>
        <v>0</v>
      </c>
      <c r="AJ15" s="18"/>
      <c r="AK15" s="23"/>
      <c r="AL15" s="16">
        <v>1358.5</v>
      </c>
      <c r="AM15" s="24">
        <f>+AL15-AK15</f>
        <v>1358.5</v>
      </c>
      <c r="AN15" s="126"/>
      <c r="AO15" s="132"/>
      <c r="AP15" s="131">
        <f>+AO15-AK15</f>
        <v>0</v>
      </c>
      <c r="AQ15" s="126"/>
      <c r="AR15" s="23"/>
      <c r="AS15" s="16"/>
      <c r="AT15" s="24">
        <f>+AS15-AR15</f>
        <v>0</v>
      </c>
      <c r="AU15" s="18"/>
      <c r="AV15" s="132"/>
      <c r="AW15" s="131">
        <f>+AV15-AR15</f>
        <v>0</v>
      </c>
      <c r="AX15" s="18"/>
      <c r="AY15" s="23"/>
      <c r="AZ15" s="16"/>
      <c r="BA15" s="24">
        <f>+AZ15-AY15</f>
        <v>0</v>
      </c>
      <c r="BB15" s="18"/>
      <c r="BC15" s="132"/>
      <c r="BD15" s="131">
        <f>+BC15-AY15</f>
        <v>0</v>
      </c>
      <c r="BE15" s="18"/>
      <c r="BF15" s="23"/>
      <c r="BG15" s="16">
        <v>12581.422413793105</v>
      </c>
      <c r="BH15" s="24">
        <f>+BG15-BF15</f>
        <v>12581.422413793105</v>
      </c>
      <c r="BI15" s="18"/>
      <c r="BJ15" s="132">
        <v>12581.31</v>
      </c>
      <c r="BK15" s="131">
        <f>+BJ15-BF15</f>
        <v>12581.31</v>
      </c>
      <c r="BL15" s="18"/>
      <c r="BM15" s="23"/>
      <c r="BN15" s="16"/>
      <c r="BO15" s="24">
        <f>+BN15-BM15</f>
        <v>0</v>
      </c>
      <c r="BP15" s="18"/>
      <c r="BQ15" s="132"/>
      <c r="BR15" s="131">
        <f>+BQ15-BM15</f>
        <v>0</v>
      </c>
      <c r="BS15" s="18"/>
      <c r="BT15" s="23">
        <f t="shared" si="20"/>
        <v>0</v>
      </c>
      <c r="BU15" s="23">
        <f t="shared" si="21"/>
        <v>307825.7324137931</v>
      </c>
      <c r="BV15" s="24">
        <f>+BU15-BT15</f>
        <v>307825.7324137931</v>
      </c>
      <c r="BW15" s="18"/>
      <c r="BX15" s="16">
        <f t="shared" si="23"/>
        <v>12581.31</v>
      </c>
      <c r="BY15" s="25">
        <f>+BX15-BT15</f>
        <v>12581.31</v>
      </c>
      <c r="BZ15" s="18"/>
      <c r="CA15" s="16">
        <f t="shared" si="25"/>
        <v>30782.573241379308</v>
      </c>
      <c r="CB15" s="26">
        <f t="shared" si="26"/>
        <v>1258.1309999999999</v>
      </c>
    </row>
    <row r="16" spans="1:80" x14ac:dyDescent="0.3">
      <c r="A16" s="153" t="s">
        <v>19</v>
      </c>
      <c r="B16" s="23">
        <v>400000</v>
      </c>
      <c r="C16" s="16">
        <v>29901.71</v>
      </c>
      <c r="D16" s="24">
        <f t="shared" si="0"/>
        <v>-370098.29</v>
      </c>
      <c r="E16" s="18">
        <f t="shared" si="27"/>
        <v>7.4754274999999995E-2</v>
      </c>
      <c r="F16" s="28">
        <v>24830.18</v>
      </c>
      <c r="G16" s="25">
        <f t="shared" si="1"/>
        <v>-375169.82</v>
      </c>
      <c r="H16" s="18">
        <f t="shared" si="28"/>
        <v>6.2075449999999997E-2</v>
      </c>
      <c r="I16" s="23">
        <v>450000</v>
      </c>
      <c r="J16" s="16">
        <v>17492.240000000002</v>
      </c>
      <c r="K16" s="24">
        <f t="shared" si="2"/>
        <v>-432507.76</v>
      </c>
      <c r="L16" s="18">
        <f t="shared" si="29"/>
        <v>3.887164444444445E-2</v>
      </c>
      <c r="M16" s="28">
        <v>17490.080000000002</v>
      </c>
      <c r="N16" s="25">
        <f t="shared" si="3"/>
        <v>-432509.92</v>
      </c>
      <c r="O16" s="18">
        <f t="shared" si="30"/>
        <v>3.8866844444444451E-2</v>
      </c>
      <c r="P16" s="23"/>
      <c r="Q16" s="16"/>
      <c r="R16" s="24">
        <f t="shared" si="4"/>
        <v>0</v>
      </c>
      <c r="S16" s="18"/>
      <c r="T16" s="28"/>
      <c r="U16" s="25">
        <f t="shared" si="5"/>
        <v>0</v>
      </c>
      <c r="V16" s="18"/>
      <c r="W16" s="23"/>
      <c r="X16" s="16"/>
      <c r="Y16" s="24">
        <f t="shared" si="6"/>
        <v>0</v>
      </c>
      <c r="Z16" s="18"/>
      <c r="AA16" s="28"/>
      <c r="AB16" s="25">
        <f t="shared" si="7"/>
        <v>0</v>
      </c>
      <c r="AC16" s="18"/>
      <c r="AD16" s="23"/>
      <c r="AE16" s="16"/>
      <c r="AF16" s="24">
        <f t="shared" si="8"/>
        <v>0</v>
      </c>
      <c r="AG16" s="18"/>
      <c r="AH16" s="28"/>
      <c r="AI16" s="25">
        <f t="shared" si="9"/>
        <v>0</v>
      </c>
      <c r="AJ16" s="18"/>
      <c r="AK16" s="23"/>
      <c r="AL16" s="16"/>
      <c r="AM16" s="24">
        <f t="shared" si="10"/>
        <v>0</v>
      </c>
      <c r="AN16" s="126"/>
      <c r="AO16" s="132"/>
      <c r="AP16" s="131">
        <f t="shared" si="11"/>
        <v>0</v>
      </c>
      <c r="AQ16" s="126"/>
      <c r="AR16" s="23"/>
      <c r="AS16" s="16"/>
      <c r="AT16" s="24">
        <f t="shared" si="12"/>
        <v>0</v>
      </c>
      <c r="AU16" s="18"/>
      <c r="AV16" s="132"/>
      <c r="AW16" s="131">
        <f t="shared" si="13"/>
        <v>0</v>
      </c>
      <c r="AX16" s="18"/>
      <c r="AY16" s="23"/>
      <c r="AZ16" s="16"/>
      <c r="BA16" s="24">
        <f t="shared" si="14"/>
        <v>0</v>
      </c>
      <c r="BB16" s="18"/>
      <c r="BC16" s="132"/>
      <c r="BD16" s="131">
        <f t="shared" si="15"/>
        <v>0</v>
      </c>
      <c r="BE16" s="18"/>
      <c r="BF16" s="23"/>
      <c r="BG16" s="16"/>
      <c r="BH16" s="24">
        <f t="shared" si="16"/>
        <v>0</v>
      </c>
      <c r="BI16" s="18"/>
      <c r="BJ16" s="132"/>
      <c r="BK16" s="131">
        <f t="shared" si="17"/>
        <v>0</v>
      </c>
      <c r="BL16" s="18"/>
      <c r="BM16" s="23"/>
      <c r="BN16" s="16"/>
      <c r="BO16" s="24">
        <f t="shared" ref="BO16:BO19" si="49">+BN16-BM16</f>
        <v>0</v>
      </c>
      <c r="BP16" s="18"/>
      <c r="BQ16" s="132">
        <v>0</v>
      </c>
      <c r="BR16" s="131">
        <f t="shared" ref="BR16:BR19" si="50">+BQ16-BM16</f>
        <v>0</v>
      </c>
      <c r="BS16" s="18"/>
      <c r="BT16" s="23">
        <f t="shared" si="20"/>
        <v>850000</v>
      </c>
      <c r="BU16" s="23">
        <f t="shared" si="21"/>
        <v>47393.95</v>
      </c>
      <c r="BV16" s="24">
        <f t="shared" si="22"/>
        <v>-802606.05</v>
      </c>
      <c r="BW16" s="18">
        <f t="shared" si="47"/>
        <v>5.5757588235294114E-2</v>
      </c>
      <c r="BX16" s="16">
        <f t="shared" si="23"/>
        <v>42320.26</v>
      </c>
      <c r="BY16" s="25">
        <f t="shared" si="24"/>
        <v>-807679.74</v>
      </c>
      <c r="BZ16" s="18">
        <f t="shared" si="48"/>
        <v>4.9788541176470594E-2</v>
      </c>
      <c r="CA16" s="16">
        <f t="shared" si="25"/>
        <v>4739.3949999999995</v>
      </c>
      <c r="CB16" s="26">
        <f t="shared" si="26"/>
        <v>4232.0259999999998</v>
      </c>
    </row>
    <row r="17" spans="1:80" x14ac:dyDescent="0.3">
      <c r="A17" s="22" t="s">
        <v>20</v>
      </c>
      <c r="B17" s="23">
        <v>1338750</v>
      </c>
      <c r="C17" s="16">
        <v>110791.25</v>
      </c>
      <c r="D17" s="24">
        <f t="shared" si="0"/>
        <v>-1227958.75</v>
      </c>
      <c r="E17" s="18">
        <f t="shared" si="27"/>
        <v>8.2757236227824466E-2</v>
      </c>
      <c r="F17" s="28">
        <v>136979.66</v>
      </c>
      <c r="G17" s="25">
        <f t="shared" si="1"/>
        <v>-1201770.3400000001</v>
      </c>
      <c r="H17" s="18">
        <f t="shared" si="28"/>
        <v>0.10231907376283847</v>
      </c>
      <c r="I17" s="23">
        <v>1338750</v>
      </c>
      <c r="J17" s="16">
        <v>78051.38</v>
      </c>
      <c r="K17" s="24">
        <f t="shared" si="2"/>
        <v>-1260698.6200000001</v>
      </c>
      <c r="L17" s="18">
        <f t="shared" si="29"/>
        <v>5.8301684407096176E-2</v>
      </c>
      <c r="M17" s="28">
        <v>40912.379999999997</v>
      </c>
      <c r="N17" s="25">
        <f t="shared" si="3"/>
        <v>-1297837.6200000001</v>
      </c>
      <c r="O17" s="18">
        <f t="shared" si="30"/>
        <v>3.0560134453781512E-2</v>
      </c>
      <c r="P17" s="23">
        <v>1338750</v>
      </c>
      <c r="Q17" s="16">
        <v>506672.98</v>
      </c>
      <c r="R17" s="24">
        <f t="shared" si="4"/>
        <v>-832077.02</v>
      </c>
      <c r="S17" s="18">
        <f t="shared" si="31"/>
        <v>0.37846721195144722</v>
      </c>
      <c r="T17" s="28">
        <v>952568.93</v>
      </c>
      <c r="U17" s="25">
        <f t="shared" si="5"/>
        <v>-386181.06999999995</v>
      </c>
      <c r="V17" s="18">
        <f t="shared" si="32"/>
        <v>0.7115360821661999</v>
      </c>
      <c r="W17" s="23">
        <v>1338750</v>
      </c>
      <c r="X17" s="16">
        <v>1183557.54</v>
      </c>
      <c r="Y17" s="24">
        <f t="shared" si="6"/>
        <v>-155192.45999999996</v>
      </c>
      <c r="Z17" s="18">
        <f t="shared" ref="Z17:Z19" si="51">+X17/W17</f>
        <v>0.88407659383753501</v>
      </c>
      <c r="AA17" s="28">
        <v>1644577.69</v>
      </c>
      <c r="AB17" s="25">
        <f t="shared" si="7"/>
        <v>305827.68999999994</v>
      </c>
      <c r="AC17" s="47">
        <f t="shared" ref="AC17:AC19" si="52">+AA17/W17</f>
        <v>1.2284427189542484</v>
      </c>
      <c r="AD17" s="23">
        <v>1338750</v>
      </c>
      <c r="AE17" s="16">
        <v>108786.81</v>
      </c>
      <c r="AF17" s="24">
        <f t="shared" si="8"/>
        <v>-1229963.19</v>
      </c>
      <c r="AG17" s="18">
        <f t="shared" ref="AG17:AG19" si="53">+AE17/AD17</f>
        <v>8.1259988795518212E-2</v>
      </c>
      <c r="AH17" s="28">
        <v>140161.89000000001</v>
      </c>
      <c r="AI17" s="25">
        <f t="shared" si="9"/>
        <v>-1198588.1099999999</v>
      </c>
      <c r="AJ17" s="18">
        <f t="shared" ref="AJ17:AJ19" si="54">+AH17/AD17</f>
        <v>0.10469608963585435</v>
      </c>
      <c r="AK17" s="23">
        <v>1338750</v>
      </c>
      <c r="AL17" s="16">
        <v>74020.34</v>
      </c>
      <c r="AM17" s="24">
        <f t="shared" si="10"/>
        <v>-1264729.6599999999</v>
      </c>
      <c r="AN17" s="126">
        <f t="shared" ref="AN17:AN19" si="55">+AL17/AK17</f>
        <v>5.5290636788048547E-2</v>
      </c>
      <c r="AO17" s="132">
        <v>146005.68</v>
      </c>
      <c r="AP17" s="131">
        <f t="shared" si="11"/>
        <v>-1192744.32</v>
      </c>
      <c r="AQ17" s="126">
        <f t="shared" ref="AQ17:AQ19" si="56">+AO17/AK17</f>
        <v>0.10906119887955182</v>
      </c>
      <c r="AR17" s="23">
        <v>1338750</v>
      </c>
      <c r="AS17" s="16">
        <v>1062229.75</v>
      </c>
      <c r="AT17" s="24">
        <f t="shared" si="12"/>
        <v>-276520.25</v>
      </c>
      <c r="AU17" s="18">
        <f t="shared" ref="AU17:AU19" si="57">+AS17/AR17</f>
        <v>0.79344892623716157</v>
      </c>
      <c r="AV17" s="132">
        <v>232860.09</v>
      </c>
      <c r="AW17" s="131">
        <f t="shared" si="13"/>
        <v>-1105889.9099999999</v>
      </c>
      <c r="AX17" s="18">
        <f t="shared" ref="AX17:AX19" si="58">+AV17/AR17</f>
        <v>0.17393844257703081</v>
      </c>
      <c r="AY17" s="23">
        <v>1338750</v>
      </c>
      <c r="AZ17" s="16">
        <v>791212.14</v>
      </c>
      <c r="BA17" s="24">
        <f t="shared" si="14"/>
        <v>-547537.86</v>
      </c>
      <c r="BB17" s="18">
        <f t="shared" ref="BB17:BB19" si="59">+AZ17/AY17</f>
        <v>0.59100813445378153</v>
      </c>
      <c r="BC17" s="132">
        <v>433439.98</v>
      </c>
      <c r="BD17" s="131">
        <f t="shared" si="15"/>
        <v>-905310.02</v>
      </c>
      <c r="BE17" s="18">
        <f t="shared" ref="BE17:BE19" si="60">+BC17/AY17</f>
        <v>0.32376469094304389</v>
      </c>
      <c r="BF17" s="23">
        <v>1338750</v>
      </c>
      <c r="BG17" s="16">
        <v>39103.79</v>
      </c>
      <c r="BH17" s="24">
        <f t="shared" si="16"/>
        <v>-1299646.21</v>
      </c>
      <c r="BI17" s="18">
        <f t="shared" ref="BI17:BI19" si="61">+BG17/BF17</f>
        <v>2.9209180205415502E-2</v>
      </c>
      <c r="BJ17" s="132">
        <v>353909.98</v>
      </c>
      <c r="BK17" s="131">
        <f t="shared" si="17"/>
        <v>-984840.02</v>
      </c>
      <c r="BL17" s="18">
        <f t="shared" ref="BL17:BL19" si="62">+BJ17/BF17</f>
        <v>0.26435852847805785</v>
      </c>
      <c r="BM17" s="23">
        <v>1338750</v>
      </c>
      <c r="BN17" s="16"/>
      <c r="BO17" s="24">
        <f t="shared" si="49"/>
        <v>-1338750</v>
      </c>
      <c r="BP17" s="18">
        <f t="shared" ref="BP17:BP19" si="63">+BN17/BM17</f>
        <v>0</v>
      </c>
      <c r="BQ17" s="132">
        <v>0</v>
      </c>
      <c r="BR17" s="131">
        <f t="shared" si="50"/>
        <v>-1338750</v>
      </c>
      <c r="BS17" s="18">
        <f t="shared" ref="BS17:BS19" si="64">+BQ17/BM17</f>
        <v>0</v>
      </c>
      <c r="BT17" s="23">
        <f t="shared" si="20"/>
        <v>13387500</v>
      </c>
      <c r="BU17" s="23">
        <f t="shared" si="21"/>
        <v>3954425.98</v>
      </c>
      <c r="BV17" s="24">
        <f t="shared" si="22"/>
        <v>-9433074.0199999996</v>
      </c>
      <c r="BW17" s="18">
        <f t="shared" si="47"/>
        <v>0.2953819592903828</v>
      </c>
      <c r="BX17" s="16">
        <f t="shared" si="23"/>
        <v>4081416.2800000003</v>
      </c>
      <c r="BY17" s="25">
        <f t="shared" si="24"/>
        <v>-9306083.7199999988</v>
      </c>
      <c r="BZ17" s="18">
        <f t="shared" si="48"/>
        <v>0.30486769598506069</v>
      </c>
      <c r="CA17" s="16">
        <f t="shared" si="25"/>
        <v>395442.598</v>
      </c>
      <c r="CB17" s="26">
        <f t="shared" si="26"/>
        <v>408141.62800000003</v>
      </c>
    </row>
    <row r="18" spans="1:80" x14ac:dyDescent="0.3">
      <c r="A18" s="22" t="s">
        <v>21</v>
      </c>
      <c r="B18" s="23">
        <v>1338750</v>
      </c>
      <c r="C18" s="16">
        <v>2188130.21</v>
      </c>
      <c r="D18" s="24">
        <f t="shared" si="0"/>
        <v>849380.21</v>
      </c>
      <c r="E18" s="47">
        <f t="shared" si="27"/>
        <v>1.6344576732026144</v>
      </c>
      <c r="F18" s="29">
        <v>388875.15</v>
      </c>
      <c r="G18" s="25">
        <f t="shared" si="1"/>
        <v>-949874.85</v>
      </c>
      <c r="H18" s="18">
        <f t="shared" si="28"/>
        <v>0.29047630252100842</v>
      </c>
      <c r="I18" s="23">
        <v>1338750</v>
      </c>
      <c r="J18" s="16">
        <v>16172227.199999999</v>
      </c>
      <c r="K18" s="24">
        <f t="shared" si="2"/>
        <v>14833477.199999999</v>
      </c>
      <c r="L18" s="47">
        <f t="shared" si="29"/>
        <v>12.080095014005602</v>
      </c>
      <c r="M18" s="29">
        <v>5659626.5</v>
      </c>
      <c r="N18" s="25">
        <f t="shared" si="3"/>
        <v>4320876.5</v>
      </c>
      <c r="O18" s="47">
        <f t="shared" si="30"/>
        <v>4.2275454715219425</v>
      </c>
      <c r="P18" s="23">
        <v>1338750</v>
      </c>
      <c r="Q18" s="16">
        <v>5101264.1900000004</v>
      </c>
      <c r="R18" s="24">
        <f t="shared" si="4"/>
        <v>3762514.1900000004</v>
      </c>
      <c r="S18" s="47">
        <f t="shared" si="31"/>
        <v>3.8104681157796456</v>
      </c>
      <c r="T18" s="28">
        <v>1892875.05</v>
      </c>
      <c r="U18" s="25">
        <f t="shared" si="5"/>
        <v>554125.05000000005</v>
      </c>
      <c r="V18" s="47">
        <f t="shared" si="32"/>
        <v>1.4139122689075632</v>
      </c>
      <c r="W18" s="23">
        <v>1338750</v>
      </c>
      <c r="X18" s="16">
        <v>2461509.7799999998</v>
      </c>
      <c r="Y18" s="24">
        <f t="shared" si="6"/>
        <v>1122759.7799999998</v>
      </c>
      <c r="Z18" s="47">
        <f t="shared" si="51"/>
        <v>1.8386627675070026</v>
      </c>
      <c r="AA18" s="29">
        <v>3085661.51</v>
      </c>
      <c r="AB18" s="25">
        <f t="shared" si="7"/>
        <v>1746911.5099999998</v>
      </c>
      <c r="AC18" s="47">
        <f t="shared" si="52"/>
        <v>2.3048825471521939</v>
      </c>
      <c r="AD18" s="23">
        <v>1338750</v>
      </c>
      <c r="AE18" s="16">
        <v>1320118.92</v>
      </c>
      <c r="AF18" s="24">
        <f t="shared" si="8"/>
        <v>-18631.080000000075</v>
      </c>
      <c r="AG18" s="18">
        <f t="shared" si="53"/>
        <v>0.98608322689075623</v>
      </c>
      <c r="AH18" s="29">
        <v>3752930.45</v>
      </c>
      <c r="AI18" s="25">
        <f t="shared" si="9"/>
        <v>2414180.4500000002</v>
      </c>
      <c r="AJ18" s="47">
        <f t="shared" si="54"/>
        <v>2.8033093930905695</v>
      </c>
      <c r="AK18" s="23">
        <v>1338750</v>
      </c>
      <c r="AL18" s="16">
        <v>5457058.8799999999</v>
      </c>
      <c r="AM18" s="24">
        <f t="shared" si="10"/>
        <v>4118308.88</v>
      </c>
      <c r="AN18" s="47">
        <f t="shared" si="55"/>
        <v>4.0762344575163398</v>
      </c>
      <c r="AO18" s="130">
        <v>1054013.69</v>
      </c>
      <c r="AP18" s="131">
        <f t="shared" si="11"/>
        <v>-284736.31000000006</v>
      </c>
      <c r="AQ18" s="126">
        <f t="shared" si="56"/>
        <v>0.78731181325863675</v>
      </c>
      <c r="AR18" s="23">
        <v>1338750</v>
      </c>
      <c r="AS18" s="16">
        <v>1212046.08</v>
      </c>
      <c r="AT18" s="24">
        <f t="shared" si="12"/>
        <v>-126703.91999999993</v>
      </c>
      <c r="AU18" s="18">
        <f t="shared" si="57"/>
        <v>0.90535654901960794</v>
      </c>
      <c r="AV18" s="130">
        <v>661231.25</v>
      </c>
      <c r="AW18" s="131">
        <f t="shared" si="13"/>
        <v>-677518.75</v>
      </c>
      <c r="AX18" s="18">
        <f t="shared" si="58"/>
        <v>0.49391690009337069</v>
      </c>
      <c r="AY18" s="23">
        <v>1338750</v>
      </c>
      <c r="AZ18" s="16">
        <v>4196685.1900000004</v>
      </c>
      <c r="BA18" s="24">
        <f t="shared" si="14"/>
        <v>2857935.1900000004</v>
      </c>
      <c r="BB18" s="47">
        <f t="shared" si="59"/>
        <v>3.1347788534080303</v>
      </c>
      <c r="BC18" s="130">
        <v>500892.89</v>
      </c>
      <c r="BD18" s="131">
        <f t="shared" si="15"/>
        <v>-837857.11</v>
      </c>
      <c r="BE18" s="18">
        <f t="shared" si="60"/>
        <v>0.37414968440709617</v>
      </c>
      <c r="BF18" s="23">
        <v>1338750</v>
      </c>
      <c r="BG18" s="16">
        <v>1746407.4972413795</v>
      </c>
      <c r="BH18" s="24">
        <f t="shared" si="16"/>
        <v>407657.49724137946</v>
      </c>
      <c r="BI18" s="47">
        <f t="shared" si="61"/>
        <v>1.3045060670337101</v>
      </c>
      <c r="BJ18" s="130">
        <v>1222429.3899999999</v>
      </c>
      <c r="BK18" s="131">
        <f t="shared" si="17"/>
        <v>-116320.6100000001</v>
      </c>
      <c r="BL18" s="18">
        <f t="shared" si="62"/>
        <v>0.9131125228758169</v>
      </c>
      <c r="BM18" s="23">
        <v>1338750</v>
      </c>
      <c r="BN18" s="16">
        <v>9512.6637931034493</v>
      </c>
      <c r="BO18" s="24">
        <f t="shared" si="49"/>
        <v>-1329237.3362068965</v>
      </c>
      <c r="BP18" s="47">
        <f t="shared" si="63"/>
        <v>7.1056312180044438E-3</v>
      </c>
      <c r="BQ18" s="130">
        <v>175674.17453753011</v>
      </c>
      <c r="BR18" s="131">
        <f t="shared" si="50"/>
        <v>-1163075.8254624698</v>
      </c>
      <c r="BS18" s="18">
        <f t="shared" si="64"/>
        <v>0.13122253933709066</v>
      </c>
      <c r="BT18" s="23">
        <f t="shared" si="20"/>
        <v>13387500</v>
      </c>
      <c r="BU18" s="23">
        <f t="shared" si="21"/>
        <v>39855447.947241381</v>
      </c>
      <c r="BV18" s="24">
        <f t="shared" si="22"/>
        <v>26467947.947241381</v>
      </c>
      <c r="BW18" s="47">
        <f t="shared" si="47"/>
        <v>2.9770642724363308</v>
      </c>
      <c r="BX18" s="16">
        <f t="shared" si="23"/>
        <v>18394210.054537527</v>
      </c>
      <c r="BY18" s="25">
        <f t="shared" si="24"/>
        <v>5006710.0545375273</v>
      </c>
      <c r="BZ18" s="47">
        <f t="shared" si="48"/>
        <v>1.3739839443165287</v>
      </c>
      <c r="CA18" s="16">
        <f t="shared" si="25"/>
        <v>3985544.794724138</v>
      </c>
      <c r="CB18" s="26">
        <f t="shared" si="26"/>
        <v>1839421.0054537528</v>
      </c>
    </row>
    <row r="19" spans="1:80" x14ac:dyDescent="0.3">
      <c r="A19" s="22" t="s">
        <v>22</v>
      </c>
      <c r="B19" s="23">
        <v>500000</v>
      </c>
      <c r="C19" s="16">
        <v>552980.43000000005</v>
      </c>
      <c r="D19" s="24">
        <f t="shared" si="0"/>
        <v>52980.430000000051</v>
      </c>
      <c r="E19" s="47">
        <f t="shared" si="27"/>
        <v>1.1059608600000002</v>
      </c>
      <c r="F19" s="29">
        <v>551981.43000000005</v>
      </c>
      <c r="G19" s="25">
        <f t="shared" si="1"/>
        <v>51981.430000000051</v>
      </c>
      <c r="H19" s="47">
        <f t="shared" si="28"/>
        <v>1.1039628600000002</v>
      </c>
      <c r="I19" s="23">
        <v>550000</v>
      </c>
      <c r="J19" s="16">
        <v>1283683.3700000001</v>
      </c>
      <c r="K19" s="24">
        <f t="shared" si="2"/>
        <v>733683.37000000011</v>
      </c>
      <c r="L19" s="47">
        <f t="shared" si="29"/>
        <v>2.3339697636363637</v>
      </c>
      <c r="M19" s="29">
        <v>1508451.15</v>
      </c>
      <c r="N19" s="25">
        <f t="shared" si="3"/>
        <v>958451.14999999991</v>
      </c>
      <c r="O19" s="47">
        <f t="shared" si="30"/>
        <v>2.7426384545454545</v>
      </c>
      <c r="P19" s="23">
        <v>600000</v>
      </c>
      <c r="Q19" s="16">
        <v>884030.54</v>
      </c>
      <c r="R19" s="24">
        <f t="shared" si="4"/>
        <v>284030.54000000004</v>
      </c>
      <c r="S19" s="47">
        <f t="shared" si="31"/>
        <v>1.4733842333333333</v>
      </c>
      <c r="T19" s="29">
        <v>345604.95</v>
      </c>
      <c r="U19" s="25">
        <f t="shared" si="5"/>
        <v>-254395.05</v>
      </c>
      <c r="V19" s="18">
        <f t="shared" si="32"/>
        <v>0.57600825</v>
      </c>
      <c r="W19" s="23">
        <v>650000</v>
      </c>
      <c r="X19" s="16">
        <v>620234.69999999995</v>
      </c>
      <c r="Y19" s="24">
        <f t="shared" si="6"/>
        <v>-29765.300000000047</v>
      </c>
      <c r="Z19" s="18">
        <f t="shared" si="51"/>
        <v>0.95420723076923075</v>
      </c>
      <c r="AA19" s="29">
        <v>799583.03</v>
      </c>
      <c r="AB19" s="25">
        <f t="shared" si="7"/>
        <v>149583.03000000003</v>
      </c>
      <c r="AC19" s="47">
        <f t="shared" si="52"/>
        <v>1.2301277384615386</v>
      </c>
      <c r="AD19" s="23">
        <v>700000</v>
      </c>
      <c r="AE19" s="16">
        <v>805853.51</v>
      </c>
      <c r="AF19" s="24">
        <f t="shared" si="8"/>
        <v>105853.51000000001</v>
      </c>
      <c r="AG19" s="47">
        <f t="shared" si="53"/>
        <v>1.1512192999999999</v>
      </c>
      <c r="AH19" s="29">
        <v>600557.80000000005</v>
      </c>
      <c r="AI19" s="25">
        <f t="shared" si="9"/>
        <v>-99442.199999999953</v>
      </c>
      <c r="AJ19" s="18">
        <f t="shared" si="54"/>
        <v>0.85793971428571436</v>
      </c>
      <c r="AK19" s="23">
        <v>750000</v>
      </c>
      <c r="AL19" s="16">
        <v>577431.47</v>
      </c>
      <c r="AM19" s="24">
        <f t="shared" si="10"/>
        <v>-172568.53000000003</v>
      </c>
      <c r="AN19" s="126">
        <f t="shared" si="55"/>
        <v>0.7699086266666666</v>
      </c>
      <c r="AO19" s="130">
        <v>562600.11</v>
      </c>
      <c r="AP19" s="131">
        <f t="shared" si="11"/>
        <v>-187399.89</v>
      </c>
      <c r="AQ19" s="126">
        <f t="shared" si="56"/>
        <v>0.75013348000000002</v>
      </c>
      <c r="AR19" s="23">
        <v>800000</v>
      </c>
      <c r="AS19" s="16">
        <v>920347.23</v>
      </c>
      <c r="AT19" s="24">
        <f t="shared" si="12"/>
        <v>120347.22999999998</v>
      </c>
      <c r="AU19" s="47">
        <f t="shared" si="57"/>
        <v>1.1504340375</v>
      </c>
      <c r="AV19" s="130">
        <v>1659845.55</v>
      </c>
      <c r="AW19" s="131">
        <f t="shared" si="13"/>
        <v>859845.55</v>
      </c>
      <c r="AX19" s="47">
        <f t="shared" si="58"/>
        <v>2.0748069375</v>
      </c>
      <c r="AY19" s="23">
        <v>850000</v>
      </c>
      <c r="AZ19" s="16">
        <v>1327398</v>
      </c>
      <c r="BA19" s="24">
        <f t="shared" si="14"/>
        <v>477398</v>
      </c>
      <c r="BB19" s="47">
        <f t="shared" si="59"/>
        <v>1.561644705882353</v>
      </c>
      <c r="BC19" s="130">
        <v>990380.81</v>
      </c>
      <c r="BD19" s="131">
        <f t="shared" si="15"/>
        <v>140380.81000000006</v>
      </c>
      <c r="BE19" s="47">
        <f t="shared" si="60"/>
        <v>1.1651538941176471</v>
      </c>
      <c r="BF19" s="23">
        <v>876750</v>
      </c>
      <c r="BG19" s="16">
        <v>455775.46551724145</v>
      </c>
      <c r="BH19" s="24">
        <f t="shared" si="16"/>
        <v>-420974.53448275855</v>
      </c>
      <c r="BI19" s="18">
        <f t="shared" si="61"/>
        <v>0.51984655319902073</v>
      </c>
      <c r="BJ19" s="130">
        <v>293634.09999999998</v>
      </c>
      <c r="BK19" s="131">
        <f t="shared" si="17"/>
        <v>-583115.9</v>
      </c>
      <c r="BL19" s="18">
        <f t="shared" si="62"/>
        <v>0.33491200456230391</v>
      </c>
      <c r="BM19" s="23">
        <v>876750</v>
      </c>
      <c r="BN19" s="16">
        <v>184315.90517241383</v>
      </c>
      <c r="BO19" s="24">
        <f t="shared" si="49"/>
        <v>-692434.0948275862</v>
      </c>
      <c r="BP19" s="18">
        <f t="shared" si="63"/>
        <v>0.21022629617612071</v>
      </c>
      <c r="BQ19" s="130">
        <v>143363.96859302701</v>
      </c>
      <c r="BR19" s="131">
        <f t="shared" si="50"/>
        <v>-733386.03140697302</v>
      </c>
      <c r="BS19" s="18">
        <f t="shared" si="64"/>
        <v>0.16351750053382036</v>
      </c>
      <c r="BT19" s="23">
        <f t="shared" si="20"/>
        <v>7153500</v>
      </c>
      <c r="BU19" s="23">
        <f t="shared" si="21"/>
        <v>7427734.7155172415</v>
      </c>
      <c r="BV19" s="24">
        <f t="shared" si="22"/>
        <v>274234.71551724151</v>
      </c>
      <c r="BW19" s="47">
        <f t="shared" si="47"/>
        <v>1.0383357399199331</v>
      </c>
      <c r="BX19" s="16">
        <f t="shared" si="23"/>
        <v>7456002.8985930271</v>
      </c>
      <c r="BY19" s="25">
        <f t="shared" si="24"/>
        <v>302502.89859302714</v>
      </c>
      <c r="BZ19" s="47">
        <f t="shared" si="48"/>
        <v>1.0422873975806286</v>
      </c>
      <c r="CA19" s="16">
        <f t="shared" si="25"/>
        <v>742773.47155172413</v>
      </c>
      <c r="CB19" s="26">
        <f t="shared" si="26"/>
        <v>745600.28985930269</v>
      </c>
    </row>
    <row r="20" spans="1:80" x14ac:dyDescent="0.3">
      <c r="A20" s="22" t="s">
        <v>26</v>
      </c>
      <c r="B20" s="23"/>
      <c r="C20" s="16">
        <v>60669.83</v>
      </c>
      <c r="D20" s="24">
        <f>+C20-B20</f>
        <v>60669.83</v>
      </c>
      <c r="E20" s="18"/>
      <c r="F20" s="28">
        <v>74635.009999999995</v>
      </c>
      <c r="G20" s="25">
        <f>+F20-B20</f>
        <v>74635.009999999995</v>
      </c>
      <c r="H20" s="18"/>
      <c r="I20" s="23"/>
      <c r="J20" s="16">
        <f>327.32+8787.51</f>
        <v>9114.83</v>
      </c>
      <c r="K20" s="24">
        <f>+J20-I20</f>
        <v>9114.83</v>
      </c>
      <c r="L20" s="18"/>
      <c r="M20" s="28">
        <v>5256.55</v>
      </c>
      <c r="N20" s="25">
        <f>+M20-I20</f>
        <v>5256.55</v>
      </c>
      <c r="O20" s="18"/>
      <c r="P20" s="23"/>
      <c r="Q20" s="16">
        <v>33104.07</v>
      </c>
      <c r="R20" s="24">
        <f>+Q20-P20</f>
        <v>33104.07</v>
      </c>
      <c r="S20" s="18"/>
      <c r="T20" s="28">
        <v>23024.37</v>
      </c>
      <c r="U20" s="25">
        <f>+T20-P20</f>
        <v>23024.37</v>
      </c>
      <c r="V20" s="18"/>
      <c r="W20" s="23"/>
      <c r="X20" s="16">
        <v>10029.39</v>
      </c>
      <c r="Y20" s="24">
        <f>+X20-W20</f>
        <v>10029.39</v>
      </c>
      <c r="Z20" s="18"/>
      <c r="AA20" s="28">
        <v>9296.48</v>
      </c>
      <c r="AB20" s="25">
        <f>+AA20-W20</f>
        <v>9296.48</v>
      </c>
      <c r="AC20" s="18"/>
      <c r="AD20" s="23"/>
      <c r="AE20" s="16">
        <v>19130.11</v>
      </c>
      <c r="AF20" s="24">
        <f>+AE20-AD20</f>
        <v>19130.11</v>
      </c>
      <c r="AG20" s="18"/>
      <c r="AH20" s="28">
        <v>19324.61</v>
      </c>
      <c r="AI20" s="25">
        <f>+AH20-AD20</f>
        <v>19324.61</v>
      </c>
      <c r="AJ20" s="18"/>
      <c r="AK20" s="23"/>
      <c r="AL20" s="16">
        <v>12918.1</v>
      </c>
      <c r="AM20" s="24">
        <f>+AL20-AK20</f>
        <v>12918.1</v>
      </c>
      <c r="AN20" s="126"/>
      <c r="AO20" s="132">
        <v>12883.06</v>
      </c>
      <c r="AP20" s="131">
        <f>+AO20-AK20</f>
        <v>12883.06</v>
      </c>
      <c r="AQ20" s="126"/>
      <c r="AR20" s="23"/>
      <c r="AS20" s="16">
        <v>12592.89</v>
      </c>
      <c r="AT20" s="24">
        <f>+AS20-AR20</f>
        <v>12592.89</v>
      </c>
      <c r="AU20" s="18"/>
      <c r="AV20" s="132">
        <v>11201.94</v>
      </c>
      <c r="AW20" s="131">
        <f>+AV20-AR20</f>
        <v>11201.94</v>
      </c>
      <c r="AX20" s="18"/>
      <c r="AY20" s="23"/>
      <c r="AZ20" s="16">
        <v>13382.1</v>
      </c>
      <c r="BA20" s="24">
        <f>+AZ20-AY20</f>
        <v>13382.1</v>
      </c>
      <c r="BB20" s="18"/>
      <c r="BC20" s="132">
        <v>12786.05</v>
      </c>
      <c r="BD20" s="131">
        <f>+BC20-AY20</f>
        <v>12786.05</v>
      </c>
      <c r="BE20" s="18"/>
      <c r="BF20" s="23"/>
      <c r="BG20" s="16">
        <v>10995.97</v>
      </c>
      <c r="BH20" s="24">
        <f>+BG20-BF20</f>
        <v>10995.97</v>
      </c>
      <c r="BI20" s="18"/>
      <c r="BJ20" s="107">
        <v>10367.94</v>
      </c>
      <c r="BK20" s="131">
        <f>+BJ20-BF20</f>
        <v>10367.94</v>
      </c>
      <c r="BL20" s="18"/>
      <c r="BM20" s="23"/>
      <c r="BN20" s="16"/>
      <c r="BO20" s="24">
        <f>+BN20-BM20</f>
        <v>0</v>
      </c>
      <c r="BP20" s="18"/>
      <c r="BQ20" s="107">
        <v>0</v>
      </c>
      <c r="BR20" s="131">
        <f>+BQ20-BM20</f>
        <v>0</v>
      </c>
      <c r="BS20" s="18"/>
      <c r="BT20" s="23">
        <f t="shared" si="20"/>
        <v>0</v>
      </c>
      <c r="BU20" s="23">
        <f t="shared" si="21"/>
        <v>181937.29000000004</v>
      </c>
      <c r="BV20" s="24">
        <f t="shared" si="22"/>
        <v>181937.29000000004</v>
      </c>
      <c r="BW20" s="18"/>
      <c r="BX20" s="16">
        <f t="shared" si="23"/>
        <v>178776.00999999998</v>
      </c>
      <c r="BY20" s="25">
        <f t="shared" si="24"/>
        <v>178776.00999999998</v>
      </c>
      <c r="BZ20" s="18"/>
      <c r="CA20" s="16">
        <f t="shared" si="25"/>
        <v>18193.729000000003</v>
      </c>
      <c r="CB20" s="26">
        <f t="shared" si="26"/>
        <v>17877.600999999999</v>
      </c>
    </row>
    <row r="21" spans="1:80" ht="15" thickBot="1" x14ac:dyDescent="0.35">
      <c r="A21" s="22"/>
      <c r="B21" s="23"/>
      <c r="C21" s="16"/>
      <c r="D21" s="24"/>
      <c r="E21" s="30"/>
      <c r="F21" s="29"/>
      <c r="G21" s="25"/>
      <c r="H21" s="18"/>
      <c r="I21" s="23"/>
      <c r="J21" s="16"/>
      <c r="K21" s="24"/>
      <c r="L21" s="30"/>
      <c r="M21" s="29"/>
      <c r="N21" s="25"/>
      <c r="O21" s="18"/>
      <c r="P21" s="23"/>
      <c r="Q21" s="16"/>
      <c r="R21" s="24"/>
      <c r="S21" s="30"/>
      <c r="T21" s="29"/>
      <c r="U21" s="25"/>
      <c r="V21" s="18"/>
      <c r="W21" s="23"/>
      <c r="X21" s="16"/>
      <c r="Y21" s="24"/>
      <c r="Z21" s="30"/>
      <c r="AA21" s="29"/>
      <c r="AB21" s="25"/>
      <c r="AC21" s="18"/>
      <c r="AD21" s="23"/>
      <c r="AE21" s="16"/>
      <c r="AF21" s="24"/>
      <c r="AG21" s="30"/>
      <c r="AH21" s="29"/>
      <c r="AI21" s="25"/>
      <c r="AJ21" s="18"/>
      <c r="AK21" s="23"/>
      <c r="AL21" s="16"/>
      <c r="AM21" s="24"/>
      <c r="AN21" s="133"/>
      <c r="AO21" s="130"/>
      <c r="AP21" s="131"/>
      <c r="AQ21" s="126"/>
      <c r="AR21" s="23"/>
      <c r="AS21" s="16"/>
      <c r="AT21" s="24"/>
      <c r="AU21" s="30"/>
      <c r="AV21" s="130"/>
      <c r="AW21" s="131"/>
      <c r="AX21" s="18"/>
      <c r="AY21" s="23"/>
      <c r="AZ21" s="16"/>
      <c r="BA21" s="24"/>
      <c r="BB21" s="30"/>
      <c r="BC21" s="130"/>
      <c r="BD21" s="131"/>
      <c r="BE21" s="18"/>
      <c r="BF21" s="23"/>
      <c r="BG21" s="16"/>
      <c r="BH21" s="24"/>
      <c r="BI21" s="30"/>
      <c r="BJ21" s="130"/>
      <c r="BK21" s="131"/>
      <c r="BL21" s="18"/>
      <c r="BM21" s="23"/>
      <c r="BN21" s="16"/>
      <c r="BO21" s="24"/>
      <c r="BP21" s="30"/>
      <c r="BQ21" s="130"/>
      <c r="BR21" s="131"/>
      <c r="BS21" s="18"/>
      <c r="BT21" s="78"/>
      <c r="BU21" s="78"/>
      <c r="BV21" s="79"/>
      <c r="BW21" s="161"/>
      <c r="BX21" s="78"/>
      <c r="BY21" s="81"/>
      <c r="BZ21" s="37"/>
      <c r="CA21" s="83"/>
      <c r="CB21" s="82"/>
    </row>
    <row r="22" spans="1:80" ht="15" thickBot="1" x14ac:dyDescent="0.35">
      <c r="A22" s="31" t="s">
        <v>23</v>
      </c>
      <c r="B22" s="32">
        <f>SUM(B4:B21)</f>
        <v>12098000</v>
      </c>
      <c r="C22" s="32">
        <f>SUM(C4:C21)</f>
        <v>9551724.5199999996</v>
      </c>
      <c r="D22" s="32">
        <f>SUM(D4:D21)</f>
        <v>-2546275.48</v>
      </c>
      <c r="E22" s="33">
        <f>+C22/B22</f>
        <v>0.78952922135890224</v>
      </c>
      <c r="F22" s="32">
        <f>SUM(F4:F21)</f>
        <v>5981425.2799999984</v>
      </c>
      <c r="G22" s="32">
        <f>SUM(G4:G21)</f>
        <v>-6116574.7199999997</v>
      </c>
      <c r="H22" s="33">
        <f>+F22/B22</f>
        <v>0.49441438915523211</v>
      </c>
      <c r="I22" s="32">
        <f>SUM(I4:I21)</f>
        <v>12348000</v>
      </c>
      <c r="J22" s="32">
        <f>SUM(J4:J21)</f>
        <v>22744224.27</v>
      </c>
      <c r="K22" s="32">
        <f>SUM(K4:K21)</f>
        <v>10396224.270000001</v>
      </c>
      <c r="L22" s="91">
        <f>+J22/I22</f>
        <v>1.8419358819241982</v>
      </c>
      <c r="M22" s="32">
        <f>SUM(M4:M21)</f>
        <v>10257478.640000001</v>
      </c>
      <c r="N22" s="32">
        <f>SUM(N4:N21)</f>
        <v>-2090521.3599999996</v>
      </c>
      <c r="O22" s="90">
        <f>+M22/I22</f>
        <v>0.83069959831551676</v>
      </c>
      <c r="P22" s="32">
        <f>SUM(P4:P21)</f>
        <v>12098000</v>
      </c>
      <c r="Q22" s="32">
        <f>SUM(Q4:Q21)</f>
        <v>11511387.870000001</v>
      </c>
      <c r="R22" s="32">
        <f>SUM(R4:R21)</f>
        <v>-586612.12999999931</v>
      </c>
      <c r="S22" s="33">
        <f>+Q22/P22</f>
        <v>0.95151164407340061</v>
      </c>
      <c r="T22" s="32">
        <f>SUM(T4:T21)</f>
        <v>6915087.1899999995</v>
      </c>
      <c r="U22" s="32">
        <f>SUM(U4:U21)</f>
        <v>-5182912.8100000005</v>
      </c>
      <c r="V22" s="90">
        <f>+T22/P22</f>
        <v>0.57158928665895181</v>
      </c>
      <c r="W22" s="32">
        <f>SUM(W4:W21)</f>
        <v>12298000</v>
      </c>
      <c r="X22" s="32">
        <f>SUM(X4:X21)</f>
        <v>8576678.75</v>
      </c>
      <c r="Y22" s="32">
        <f>SUM(Y4:Y21)</f>
        <v>-3721321.2500000005</v>
      </c>
      <c r="Z22" s="33">
        <f>+X22/W22</f>
        <v>0.69740435436656367</v>
      </c>
      <c r="AA22" s="32">
        <f>SUM(AA4:AA21)</f>
        <v>10142133.060000001</v>
      </c>
      <c r="AB22" s="32">
        <f>SUM(AB4:AB21)</f>
        <v>-2155866.9400000009</v>
      </c>
      <c r="AC22" s="90">
        <f>+AA22/W22</f>
        <v>0.82469776061148159</v>
      </c>
      <c r="AD22" s="32">
        <f>SUM(AD4:AD21)</f>
        <v>12498000</v>
      </c>
      <c r="AE22" s="32">
        <f>SUM(AE4:AE21)</f>
        <v>6257997.7400000002</v>
      </c>
      <c r="AF22" s="32">
        <f>SUM(AF4:AF21)</f>
        <v>-6240002.2599999988</v>
      </c>
      <c r="AG22" s="33">
        <f>+AE22/AD22</f>
        <v>0.50071993438950235</v>
      </c>
      <c r="AH22" s="32">
        <f>SUM(AH4:AH21)</f>
        <v>10391819.289999999</v>
      </c>
      <c r="AI22" s="32">
        <f>SUM(AI4:AI21)</f>
        <v>-2106180.7100000004</v>
      </c>
      <c r="AJ22" s="90">
        <f>+AH22/AD22</f>
        <v>0.83147857977276352</v>
      </c>
      <c r="AK22" s="32">
        <f>SUM(AK4:AK21)</f>
        <v>12798000</v>
      </c>
      <c r="AL22" s="32">
        <f>SUM(AL4:AL21)</f>
        <v>12599131.73</v>
      </c>
      <c r="AM22" s="32">
        <f>SUM(AM4:AM21)</f>
        <v>-198868.26999999894</v>
      </c>
      <c r="AN22" s="134">
        <f>+AL22/AK22</f>
        <v>0.98446098843569307</v>
      </c>
      <c r="AO22" s="135">
        <f>SUM(AO4:AO21)</f>
        <v>8082026.2799999993</v>
      </c>
      <c r="AP22" s="135">
        <f>SUM(AP4:AP21)</f>
        <v>-4715973.7199999988</v>
      </c>
      <c r="AQ22" s="136">
        <f>+AO22/AK22</f>
        <v>0.63150697609001405</v>
      </c>
      <c r="AR22" s="32">
        <f>SUM(AR4:AR21)</f>
        <v>13048000</v>
      </c>
      <c r="AS22" s="32">
        <f>SUM(AS4:AS21)</f>
        <v>10582459.110000001</v>
      </c>
      <c r="AT22" s="32">
        <f>SUM(AT4:AT21)</f>
        <v>-2465540.8899999997</v>
      </c>
      <c r="AU22" s="33">
        <f>+AS22/AR22</f>
        <v>0.81104070432250164</v>
      </c>
      <c r="AV22" s="135">
        <f>SUM(AV4:AV21)</f>
        <v>7688887.2799999993</v>
      </c>
      <c r="AW22" s="135">
        <f>SUM(AW4:AW21)</f>
        <v>-5359112.7200000007</v>
      </c>
      <c r="AX22" s="90">
        <f>+AV22/AR22</f>
        <v>0.58927707541385643</v>
      </c>
      <c r="AY22" s="32">
        <f>SUM(AY4:AY21)</f>
        <v>13298000</v>
      </c>
      <c r="AZ22" s="32">
        <f>SUM(AZ4:AZ21)</f>
        <v>11372872.17</v>
      </c>
      <c r="BA22" s="32">
        <f>SUM(BA4:BA21)</f>
        <v>-1925127.8299999996</v>
      </c>
      <c r="BB22" s="33">
        <f>+AZ22/AY22</f>
        <v>0.85523177695894115</v>
      </c>
      <c r="BC22" s="135">
        <f>SUM(BC4:BC21)</f>
        <v>7495770.4699999979</v>
      </c>
      <c r="BD22" s="135">
        <f>SUM(BD4:BD21)</f>
        <v>-5802229.5300000021</v>
      </c>
      <c r="BE22" s="90">
        <f>+BC22/AY22</f>
        <v>0.56367652804933055</v>
      </c>
      <c r="BF22" s="32">
        <f>SUM(BF4:BF21)</f>
        <v>13501500</v>
      </c>
      <c r="BG22" s="32">
        <f>SUM(BG4:BG21)</f>
        <v>6928050.7917241389</v>
      </c>
      <c r="BH22" s="32">
        <f>SUM(BH4:BH21)</f>
        <v>-6573449.208275862</v>
      </c>
      <c r="BI22" s="33">
        <f>+BG22/BF22</f>
        <v>0.51313193287591297</v>
      </c>
      <c r="BJ22" s="135">
        <f>SUM(BJ4:BJ21)</f>
        <v>5772016.9000000004</v>
      </c>
      <c r="BK22" s="135">
        <f>SUM(BK4:BK21)</f>
        <v>-7729483.0999999996</v>
      </c>
      <c r="BL22" s="90">
        <f>+BJ22/BF22</f>
        <v>0.42750930637336593</v>
      </c>
      <c r="BM22" s="32">
        <f>SUM(BM4:BM21)</f>
        <v>13501500</v>
      </c>
      <c r="BN22" s="32">
        <f>SUM(BN4:BN21)</f>
        <v>1658765.2531896555</v>
      </c>
      <c r="BO22" s="32">
        <f>SUM(BO4:BO21)</f>
        <v>-11842734.746810347</v>
      </c>
      <c r="BP22" s="33">
        <f>+BN22/BM22</f>
        <v>0.12285784936411921</v>
      </c>
      <c r="BQ22" s="135">
        <f>SUM(BQ4:BQ21)</f>
        <v>1039321.6734164339</v>
      </c>
      <c r="BR22" s="135">
        <f>SUM(BR4:BR21)</f>
        <v>-12462178.326583566</v>
      </c>
      <c r="BS22" s="90">
        <f>+BQ22/BM22</f>
        <v>7.6978237485941112E-2</v>
      </c>
      <c r="BT22" s="89">
        <f>SUM(BT4:BT20)</f>
        <v>127487000</v>
      </c>
      <c r="BU22" s="32">
        <f>SUM(BU4:BU20)</f>
        <v>98837233.762068972</v>
      </c>
      <c r="BV22" s="84">
        <f>+BU22-BT22</f>
        <v>-28649766.237931028</v>
      </c>
      <c r="BW22" s="85">
        <f>+BU22/BT22</f>
        <v>0.77527303773772205</v>
      </c>
      <c r="BX22" s="86">
        <f>SUM(BX4:BX20)</f>
        <v>73765966.063416451</v>
      </c>
      <c r="BY22" s="87">
        <f>+BX22-BT22</f>
        <v>-53721033.936583549</v>
      </c>
      <c r="BZ22" s="85">
        <f>+BX22/BT22</f>
        <v>0.5786155926754607</v>
      </c>
      <c r="CA22" s="86">
        <f>+BU22/9</f>
        <v>10981914.862452108</v>
      </c>
      <c r="CB22" s="88">
        <f>+BX22/9</f>
        <v>8196218.451490717</v>
      </c>
    </row>
    <row r="23" spans="1:80" x14ac:dyDescent="0.3">
      <c r="A23" s="22"/>
      <c r="B23" s="23"/>
      <c r="C23" s="16"/>
      <c r="D23" s="34"/>
      <c r="E23" s="18"/>
      <c r="F23" s="29"/>
      <c r="G23" s="35"/>
      <c r="H23" s="18"/>
      <c r="I23" s="23"/>
      <c r="J23" s="16"/>
      <c r="K23" s="34"/>
      <c r="L23" s="18"/>
      <c r="M23" s="29"/>
      <c r="N23" s="35"/>
      <c r="O23" s="18"/>
      <c r="P23" s="23"/>
      <c r="Q23" s="16"/>
      <c r="R23" s="34"/>
      <c r="S23" s="18"/>
      <c r="T23" s="29"/>
      <c r="U23" s="35"/>
      <c r="V23" s="18"/>
      <c r="W23" s="23"/>
      <c r="X23" s="16"/>
      <c r="Y23" s="34"/>
      <c r="Z23" s="18"/>
      <c r="AA23" s="29"/>
      <c r="AB23" s="35"/>
      <c r="AC23" s="18"/>
      <c r="AD23" s="23"/>
      <c r="AE23" s="16"/>
      <c r="AF23" s="34"/>
      <c r="AG23" s="18"/>
      <c r="AH23" s="29"/>
      <c r="AI23" s="35"/>
      <c r="AJ23" s="18"/>
      <c r="AK23" s="23"/>
      <c r="AL23" s="16"/>
      <c r="AM23" s="34"/>
      <c r="AN23" s="126"/>
      <c r="AO23" s="130"/>
      <c r="AP23" s="137"/>
      <c r="AQ23" s="126"/>
      <c r="AR23" s="23"/>
      <c r="AS23" s="16"/>
      <c r="AT23" s="34"/>
      <c r="AU23" s="18"/>
      <c r="AV23" s="130"/>
      <c r="AW23" s="137"/>
      <c r="AX23" s="18"/>
      <c r="AY23" s="23"/>
      <c r="AZ23" s="16"/>
      <c r="BA23" s="34"/>
      <c r="BB23" s="18"/>
      <c r="BC23" s="130"/>
      <c r="BD23" s="137"/>
      <c r="BE23" s="18"/>
      <c r="BF23" s="23"/>
      <c r="BG23" s="16"/>
      <c r="BH23" s="34"/>
      <c r="BI23" s="18"/>
      <c r="BJ23" s="130"/>
      <c r="BK23" s="137"/>
      <c r="BL23" s="18"/>
      <c r="BM23" s="23"/>
      <c r="BN23" s="16"/>
      <c r="BO23" s="34"/>
      <c r="BP23" s="18"/>
      <c r="BQ23" s="130"/>
      <c r="BR23" s="137"/>
      <c r="BS23" s="18"/>
      <c r="BT23" s="23"/>
      <c r="BU23" s="16"/>
      <c r="BV23" s="34"/>
      <c r="BW23" s="18"/>
      <c r="BX23" s="29"/>
      <c r="BY23" s="35"/>
      <c r="BZ23" s="18"/>
      <c r="CA23" s="16"/>
      <c r="CB23" s="26"/>
    </row>
    <row r="24" spans="1:80" x14ac:dyDescent="0.3">
      <c r="A24" s="22" t="s">
        <v>25</v>
      </c>
      <c r="B24" s="26"/>
      <c r="C24" s="16">
        <v>5189998</v>
      </c>
      <c r="E24" s="18"/>
      <c r="F24" s="29">
        <v>6473867</v>
      </c>
      <c r="H24" s="37"/>
      <c r="I24" s="26"/>
      <c r="J24" s="16">
        <v>6480867</v>
      </c>
      <c r="L24" s="18"/>
      <c r="M24" s="29">
        <v>4656309</v>
      </c>
      <c r="O24" s="37"/>
      <c r="P24" s="26"/>
      <c r="Q24" s="16">
        <v>5002093</v>
      </c>
      <c r="S24" s="18"/>
      <c r="T24" s="29">
        <v>4948390</v>
      </c>
      <c r="V24" s="37"/>
      <c r="W24" s="26"/>
      <c r="X24" s="16">
        <v>5759007</v>
      </c>
      <c r="Z24" s="18"/>
      <c r="AA24" s="29">
        <v>5350403</v>
      </c>
      <c r="AC24" s="37"/>
      <c r="AD24" s="26"/>
      <c r="AE24" s="16">
        <v>35091548</v>
      </c>
      <c r="AG24" s="18"/>
      <c r="AH24" s="29">
        <v>46426011</v>
      </c>
      <c r="AJ24" s="37"/>
      <c r="AK24" s="26"/>
      <c r="AL24" s="16">
        <v>7015929</v>
      </c>
      <c r="AN24" s="126"/>
      <c r="AO24" s="130">
        <v>7038899</v>
      </c>
      <c r="AQ24" s="139"/>
      <c r="AR24" s="26"/>
      <c r="AS24" s="16">
        <v>8765255</v>
      </c>
      <c r="AU24" s="18"/>
      <c r="AV24" s="130">
        <v>7021649</v>
      </c>
      <c r="AX24" s="37"/>
      <c r="AY24" s="26"/>
      <c r="AZ24" s="16">
        <v>7086943</v>
      </c>
      <c r="BB24" s="18"/>
      <c r="BC24" s="130">
        <v>8150098</v>
      </c>
      <c r="BE24" s="37"/>
      <c r="BF24" s="26"/>
      <c r="BG24" s="16">
        <v>9311498</v>
      </c>
      <c r="BI24" s="18"/>
      <c r="BJ24" s="130">
        <v>13016953</v>
      </c>
      <c r="BL24" s="37"/>
      <c r="BM24" s="26"/>
      <c r="BN24" s="16">
        <v>11059113.260000002</v>
      </c>
      <c r="BP24" s="18"/>
      <c r="BQ24" s="130">
        <v>12634751.65</v>
      </c>
      <c r="BS24" s="37"/>
      <c r="BT24" s="26"/>
      <c r="BU24" s="16">
        <f>+C24+J24+Q24+X24+AE24+AL24+AS24+AZ24+BG24</f>
        <v>89703138</v>
      </c>
      <c r="BW24" s="18"/>
      <c r="BX24" s="16">
        <f>+F24+M24+T24+AA24+AH24+AO24+AV24+BC24+BJ24</f>
        <v>103082579</v>
      </c>
      <c r="BY24" s="36"/>
      <c r="BZ24" s="37"/>
      <c r="CA24" s="16">
        <f t="shared" ref="CA24" si="65">+BU24/9</f>
        <v>9967015.333333334</v>
      </c>
      <c r="CB24" s="26">
        <f t="shared" ref="CB24" si="66">+BX24/9</f>
        <v>11453619.888888888</v>
      </c>
    </row>
    <row r="25" spans="1:80" x14ac:dyDescent="0.3">
      <c r="A25" s="38"/>
      <c r="B25" s="26"/>
      <c r="C25" s="16"/>
      <c r="E25" s="18"/>
      <c r="F25" s="29"/>
      <c r="H25" s="37"/>
      <c r="I25" s="26"/>
      <c r="J25" s="16"/>
      <c r="L25" s="18"/>
      <c r="M25" s="29"/>
      <c r="O25" s="37"/>
      <c r="P25" s="26"/>
      <c r="Q25" s="16"/>
      <c r="S25" s="18"/>
      <c r="T25" s="29"/>
      <c r="V25" s="37"/>
      <c r="W25" s="26"/>
      <c r="X25" s="16"/>
      <c r="Z25" s="18"/>
      <c r="AA25" s="29"/>
      <c r="AC25" s="37"/>
      <c r="AD25" s="26"/>
      <c r="AE25" s="16"/>
      <c r="AG25" s="18"/>
      <c r="AH25" s="29"/>
      <c r="AJ25" s="37"/>
      <c r="AK25" s="26"/>
      <c r="AL25" s="16"/>
      <c r="AN25" s="126"/>
      <c r="AO25" s="130"/>
      <c r="AQ25" s="139"/>
      <c r="AR25" s="26"/>
      <c r="AS25" s="16"/>
      <c r="AU25" s="18"/>
      <c r="AV25" s="130"/>
      <c r="AX25" s="37"/>
      <c r="AY25" s="26"/>
      <c r="AZ25" s="16"/>
      <c r="BB25" s="18"/>
      <c r="BC25" s="130"/>
      <c r="BE25" s="37"/>
      <c r="BF25" s="26"/>
      <c r="BG25" s="16"/>
      <c r="BI25" s="18"/>
      <c r="BJ25" s="130"/>
      <c r="BL25" s="37"/>
      <c r="BM25" s="26"/>
      <c r="BN25" s="16"/>
      <c r="BP25" s="18"/>
      <c r="BQ25" s="130"/>
      <c r="BS25" s="37"/>
      <c r="BT25" s="26"/>
      <c r="BU25" s="16"/>
      <c r="BW25" s="18"/>
      <c r="BX25" s="29"/>
      <c r="BY25" s="36"/>
      <c r="BZ25" s="37"/>
      <c r="CA25" s="16"/>
      <c r="CB25" s="26"/>
    </row>
    <row r="26" spans="1:80" ht="15" thickBot="1" x14ac:dyDescent="0.35">
      <c r="A26" s="39" t="s">
        <v>24</v>
      </c>
      <c r="B26" s="40"/>
      <c r="C26" s="41">
        <f>+C22-C24</f>
        <v>4361726.5199999996</v>
      </c>
      <c r="D26" s="42"/>
      <c r="E26" s="43">
        <f>+(C22/C24)-1</f>
        <v>0.8404100579614866</v>
      </c>
      <c r="F26" s="41">
        <f>+F22-F24</f>
        <v>-492441.7200000016</v>
      </c>
      <c r="G26" s="42"/>
      <c r="H26" s="43">
        <f>+(F22/F24)-1</f>
        <v>-7.6066085386060855E-2</v>
      </c>
      <c r="I26" s="40"/>
      <c r="J26" s="41">
        <f>+J22-J24</f>
        <v>16263357.27</v>
      </c>
      <c r="K26" s="42"/>
      <c r="L26" s="43">
        <f>+(J22/J24)-1</f>
        <v>2.5094416024892965</v>
      </c>
      <c r="M26" s="41">
        <f>+M22-M24</f>
        <v>5601169.6400000006</v>
      </c>
      <c r="N26" s="42"/>
      <c r="O26" s="43">
        <f>+(M22/M24)-1</f>
        <v>1.2029205192352999</v>
      </c>
      <c r="P26" s="40"/>
      <c r="Q26" s="41">
        <f>+Q22-Q24</f>
        <v>6509294.870000001</v>
      </c>
      <c r="R26" s="42"/>
      <c r="S26" s="43">
        <f>+(Q22/Q24)-1</f>
        <v>1.3013142438575214</v>
      </c>
      <c r="T26" s="41">
        <f>+T22-T24</f>
        <v>1966697.1899999995</v>
      </c>
      <c r="U26" s="42"/>
      <c r="V26" s="43">
        <f>+(T22/T24)-1</f>
        <v>0.39744183259605648</v>
      </c>
      <c r="W26" s="40"/>
      <c r="X26" s="41">
        <f>+X22-X24</f>
        <v>2817671.75</v>
      </c>
      <c r="Y26" s="42"/>
      <c r="Z26" s="43">
        <f>+(X22/X24)-1</f>
        <v>0.48926347024756178</v>
      </c>
      <c r="AA26" s="41">
        <f>+AA22-AA24</f>
        <v>4791730.0600000005</v>
      </c>
      <c r="AB26" s="42"/>
      <c r="AC26" s="104">
        <f>+(AA22/AA24)-1</f>
        <v>0.89558301683069486</v>
      </c>
      <c r="AD26" s="40"/>
      <c r="AE26" s="41">
        <f>+AE22-AE24</f>
        <v>-28833550.259999998</v>
      </c>
      <c r="AF26" s="42"/>
      <c r="AG26" s="43">
        <f>+(AE22/AE24)-1</f>
        <v>-0.8216665238022558</v>
      </c>
      <c r="AH26" s="41">
        <f>+AH22-AH24</f>
        <v>-36034191.710000001</v>
      </c>
      <c r="AI26" s="42"/>
      <c r="AJ26" s="43">
        <f>+(AH22/AH24)-1</f>
        <v>-0.77616385586088799</v>
      </c>
      <c r="AK26" s="40"/>
      <c r="AL26" s="41">
        <f>+AL22-AL24</f>
        <v>5583202.7300000004</v>
      </c>
      <c r="AM26" s="42"/>
      <c r="AN26" s="140">
        <f>+(AL22/AL24)-1</f>
        <v>0.79578951411851517</v>
      </c>
      <c r="AO26" s="141">
        <f>+AO22-AO24</f>
        <v>1043127.2799999993</v>
      </c>
      <c r="AP26" s="142"/>
      <c r="AQ26" s="140">
        <f>+(AO22/AO24)-1</f>
        <v>0.14819466510316448</v>
      </c>
      <c r="AR26" s="40"/>
      <c r="AS26" s="41">
        <f>+AS22-AS24</f>
        <v>1817204.1100000013</v>
      </c>
      <c r="AT26" s="42"/>
      <c r="AU26" s="43">
        <f>+(AS22/AS24)-1</f>
        <v>0.20731902380478395</v>
      </c>
      <c r="AV26" s="141">
        <f>+AV22-AV24</f>
        <v>667238.27999999933</v>
      </c>
      <c r="AW26" s="142"/>
      <c r="AX26" s="43">
        <f>+(AV22/AV24)-1</f>
        <v>9.5025866431090344E-2</v>
      </c>
      <c r="AY26" s="40"/>
      <c r="AZ26" s="41">
        <f>+AZ22-AZ24</f>
        <v>4285929.17</v>
      </c>
      <c r="BA26" s="42"/>
      <c r="BB26" s="43">
        <f>+(AZ22/AZ24)-1</f>
        <v>0.60476416559297852</v>
      </c>
      <c r="BC26" s="141">
        <f>+BC22-BC24</f>
        <v>-654327.53000000212</v>
      </c>
      <c r="BD26" s="142"/>
      <c r="BE26" s="43">
        <f>+(BC22/BC24)-1</f>
        <v>-8.0284621117439614E-2</v>
      </c>
      <c r="BF26" s="40"/>
      <c r="BG26" s="41">
        <f>+BG22-BG24</f>
        <v>-2383447.2082758611</v>
      </c>
      <c r="BH26" s="42"/>
      <c r="BI26" s="43">
        <f>+(BG22/BG24)-1</f>
        <v>-0.25596818130400301</v>
      </c>
      <c r="BJ26" s="141">
        <f>+BJ22-BJ24</f>
        <v>-7244936.0999999996</v>
      </c>
      <c r="BK26" s="142"/>
      <c r="BL26" s="43">
        <f>+(BJ22/BJ24)-1</f>
        <v>-0.55657695775655025</v>
      </c>
      <c r="BM26" s="40"/>
      <c r="BN26" s="41">
        <f>+BN22-BN24</f>
        <v>-9400348.0068103466</v>
      </c>
      <c r="BO26" s="42"/>
      <c r="BP26" s="43">
        <f>+(BN22/BN24)-1</f>
        <v>-0.85000919927375307</v>
      </c>
      <c r="BQ26" s="141">
        <f>+BQ22-BQ24</f>
        <v>-11595429.976583567</v>
      </c>
      <c r="BR26" s="142"/>
      <c r="BS26" s="43">
        <f>+(BQ22/BQ24)-1</f>
        <v>-0.91774102869553165</v>
      </c>
      <c r="BT26" s="40"/>
      <c r="BU26" s="41">
        <f>+BU22-BU24</f>
        <v>9134095.762068972</v>
      </c>
      <c r="BV26" s="42"/>
      <c r="BW26" s="43">
        <f>+(BU22/BU24)-1</f>
        <v>0.10182582199152246</v>
      </c>
      <c r="BX26" s="41">
        <f>+BX22-BX24</f>
        <v>-29316612.936583549</v>
      </c>
      <c r="BY26" s="42"/>
      <c r="BZ26" s="43">
        <f>+(BX22/BX24)-1</f>
        <v>-0.28439929637949346</v>
      </c>
      <c r="CA26" s="75"/>
      <c r="CB26" s="76"/>
    </row>
    <row r="28" spans="1:80" x14ac:dyDescent="0.3">
      <c r="D28" s="44"/>
      <c r="F28" s="46">
        <v>5981425.2800000003</v>
      </c>
      <c r="G28" s="46"/>
      <c r="H28" s="45"/>
      <c r="K28" s="44"/>
      <c r="M28" s="46">
        <v>10257478.65</v>
      </c>
      <c r="N28" s="46"/>
      <c r="O28" s="45"/>
      <c r="R28" s="44"/>
      <c r="T28" s="46">
        <v>6915087.2000000002</v>
      </c>
      <c r="U28" s="46"/>
      <c r="V28" s="45"/>
      <c r="Y28" s="44"/>
      <c r="AA28" s="46">
        <v>10142133.050000001</v>
      </c>
      <c r="AB28" s="46"/>
      <c r="AC28" s="45"/>
      <c r="AF28" s="44"/>
      <c r="AH28" s="46">
        <v>10391819.289999999</v>
      </c>
      <c r="AI28" s="46"/>
      <c r="AJ28" s="45"/>
      <c r="AM28" s="44"/>
      <c r="AO28" s="144">
        <v>8082026.2800000003</v>
      </c>
      <c r="AP28" s="144"/>
      <c r="AQ28" s="143"/>
      <c r="AT28" s="44"/>
      <c r="AV28" s="144">
        <v>7688887.29</v>
      </c>
      <c r="AW28" s="144"/>
      <c r="AX28" s="45"/>
      <c r="BA28" s="44"/>
      <c r="BC28" s="144">
        <v>7495770.4699999997</v>
      </c>
      <c r="BD28" s="144"/>
      <c r="BE28" s="45"/>
      <c r="BG28" s="170"/>
      <c r="BH28" s="44"/>
      <c r="BJ28" s="144">
        <v>5088005.54</v>
      </c>
      <c r="BK28" s="144"/>
      <c r="BL28" s="45"/>
      <c r="BN28" s="170"/>
      <c r="BO28" s="44"/>
      <c r="BQ28" s="144">
        <v>5088005.54</v>
      </c>
      <c r="BR28" s="144"/>
      <c r="BS28" s="45"/>
      <c r="BX28" s="46">
        <v>72042633.049999997</v>
      </c>
    </row>
    <row r="29" spans="1:80" x14ac:dyDescent="0.3">
      <c r="F29" s="46">
        <f>+F22-F28</f>
        <v>0</v>
      </c>
      <c r="M29" s="46">
        <f>+M22-M28</f>
        <v>-9.9999997764825821E-3</v>
      </c>
      <c r="T29" s="46">
        <f>+T22-T28</f>
        <v>-1.0000000707805157E-2</v>
      </c>
      <c r="AA29" s="46">
        <f>+AA22-AA28</f>
        <v>9.9999997764825821E-3</v>
      </c>
      <c r="AH29" s="46">
        <f>+AH22-AH28</f>
        <v>0</v>
      </c>
      <c r="AO29" s="144">
        <f>+AO22-AO28</f>
        <v>0</v>
      </c>
      <c r="AV29" s="144">
        <f>+AV22-AV28</f>
        <v>-1.0000000707805157E-2</v>
      </c>
      <c r="BC29" s="144">
        <f>+BC22-BC28</f>
        <v>0</v>
      </c>
      <c r="BJ29" s="144">
        <f>+BJ22-BJ28</f>
        <v>684011.36000000034</v>
      </c>
      <c r="BQ29" s="144">
        <f>+BQ22-BQ28</f>
        <v>-4048683.8665835662</v>
      </c>
      <c r="BU29" s="65"/>
      <c r="BX29" s="46">
        <f>+BX22-BX28</f>
        <v>1723333.0134164542</v>
      </c>
    </row>
    <row r="30" spans="1:80" x14ac:dyDescent="0.3">
      <c r="K30" s="44"/>
      <c r="R30" s="44"/>
      <c r="Y30" s="44"/>
      <c r="AF30" s="44"/>
      <c r="AM30" s="44"/>
      <c r="AT30" s="44"/>
      <c r="BA30" s="44"/>
      <c r="BH30" s="44"/>
      <c r="BO30" s="44"/>
      <c r="BU30" s="65"/>
    </row>
    <row r="31" spans="1:80" x14ac:dyDescent="0.3">
      <c r="A31" s="22"/>
      <c r="K31" s="44"/>
      <c r="R31" s="44"/>
      <c r="Y31" s="44"/>
      <c r="AE31" s="46"/>
      <c r="AF31" s="44"/>
      <c r="AM31" s="44"/>
      <c r="AT31" s="44"/>
      <c r="BA31" s="44"/>
      <c r="BH31" s="44"/>
      <c r="BO31" s="44"/>
    </row>
    <row r="32" spans="1:80" x14ac:dyDescent="0.3">
      <c r="A32" s="27"/>
      <c r="K32" s="44"/>
      <c r="R32" s="44"/>
      <c r="Y32" s="44"/>
      <c r="AF32" s="44"/>
      <c r="AM32" s="44"/>
      <c r="AS32"/>
      <c r="AZ32" s="162"/>
      <c r="BG32" s="162"/>
      <c r="BN32" s="162"/>
    </row>
    <row r="33" spans="1:66" x14ac:dyDescent="0.3">
      <c r="A33" s="22"/>
      <c r="AS33"/>
      <c r="AZ33" s="65"/>
      <c r="BG33" s="65"/>
      <c r="BN33" s="65"/>
    </row>
    <row r="34" spans="1:66" x14ac:dyDescent="0.3">
      <c r="A34" s="22"/>
    </row>
    <row r="35" spans="1:66" x14ac:dyDescent="0.3">
      <c r="A35" s="22"/>
    </row>
    <row r="36" spans="1:66" x14ac:dyDescent="0.3">
      <c r="A36" s="22"/>
    </row>
    <row r="37" spans="1:66" x14ac:dyDescent="0.3">
      <c r="A37" s="22"/>
    </row>
    <row r="38" spans="1:66" x14ac:dyDescent="0.3">
      <c r="A38" s="22"/>
    </row>
    <row r="39" spans="1:66" x14ac:dyDescent="0.3">
      <c r="A39" s="22"/>
    </row>
    <row r="40" spans="1:66" x14ac:dyDescent="0.3">
      <c r="A4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DF96-A50A-406C-B712-BC0FAB013CDE}">
  <dimension ref="A1:BW40"/>
  <sheetViews>
    <sheetView workbookViewId="0">
      <pane xSplit="1" ySplit="2" topLeftCell="BD14" activePane="bottomRight" state="frozen"/>
      <selection pane="topRight" activeCell="B1" sqref="B1"/>
      <selection pane="bottomLeft" activeCell="A3" sqref="A3"/>
      <selection pane="bottomRight" activeCell="BJ24" sqref="BJ24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0" width="11.44140625" style="44" bestFit="1" customWidth="1"/>
    <col min="31" max="31" width="12.88671875" style="44" bestFit="1" customWidth="1"/>
    <col min="32" max="32" width="11.77734375" customWidth="1"/>
    <col min="33" max="33" width="7.77734375" style="45" bestFit="1" customWidth="1"/>
    <col min="34" max="34" width="11.44140625" style="46" bestFit="1" customWidth="1"/>
    <col min="35" max="35" width="11.44140625" style="36" bestFit="1" customWidth="1"/>
    <col min="36" max="36" width="7.77734375" style="36" bestFit="1" customWidth="1"/>
    <col min="37" max="37" width="11.44140625" style="44" bestFit="1" customWidth="1"/>
    <col min="38" max="38" width="12.88671875" style="44" bestFit="1" customWidth="1"/>
    <col min="39" max="39" width="11.77734375" customWidth="1"/>
    <col min="40" max="40" width="7.77734375" style="143" bestFit="1" customWidth="1"/>
    <col min="41" max="41" width="11.44140625" style="144" bestFit="1" customWidth="1"/>
    <col min="42" max="42" width="11.44140625" style="138" bestFit="1" customWidth="1"/>
    <col min="43" max="43" width="7.77734375" style="138" bestFit="1" customWidth="1"/>
    <col min="44" max="44" width="11.44140625" style="44" bestFit="1" customWidth="1"/>
    <col min="45" max="45" width="12.88671875" style="44" bestFit="1" customWidth="1"/>
    <col min="46" max="46" width="11.77734375" customWidth="1"/>
    <col min="47" max="47" width="9.109375" style="45" bestFit="1" customWidth="1"/>
    <col min="48" max="48" width="11.44140625" style="144" bestFit="1" customWidth="1"/>
    <col min="49" max="49" width="11.44140625" style="138" bestFit="1" customWidth="1"/>
    <col min="50" max="50" width="7.77734375" style="36" bestFit="1" customWidth="1"/>
    <col min="51" max="51" width="11.44140625" style="44" bestFit="1" customWidth="1"/>
    <col min="52" max="52" width="12.88671875" style="44" bestFit="1" customWidth="1"/>
    <col min="53" max="53" width="11.77734375" customWidth="1"/>
    <col min="54" max="54" width="9.109375" style="45" bestFit="1" customWidth="1"/>
    <col min="55" max="55" width="11.44140625" style="144" bestFit="1" customWidth="1"/>
    <col min="56" max="56" width="11.44140625" style="138" bestFit="1" customWidth="1"/>
    <col min="57" max="57" width="7.77734375" style="36" bestFit="1" customWidth="1"/>
    <col min="58" max="58" width="11.44140625" style="44" bestFit="1" customWidth="1"/>
    <col min="59" max="59" width="12.88671875" style="44" bestFit="1" customWidth="1"/>
    <col min="60" max="60" width="11.77734375" customWidth="1"/>
    <col min="61" max="61" width="9.109375" style="45" bestFit="1" customWidth="1"/>
    <col min="62" max="62" width="11.44140625" style="144" bestFit="1" customWidth="1"/>
    <col min="63" max="63" width="11.44140625" style="138" bestFit="1" customWidth="1"/>
    <col min="64" max="64" width="7.77734375" style="36" bestFit="1" customWidth="1"/>
    <col min="65" max="65" width="12.44140625" bestFit="1" customWidth="1"/>
    <col min="66" max="66" width="13" bestFit="1" customWidth="1"/>
    <col min="67" max="67" width="11.44140625" bestFit="1" customWidth="1"/>
    <col min="68" max="68" width="7.77734375" style="36" customWidth="1"/>
    <col min="69" max="69" width="12.44140625" bestFit="1" customWidth="1"/>
    <col min="70" max="70" width="11.44140625" bestFit="1" customWidth="1"/>
    <col min="71" max="71" width="7.109375" style="36" bestFit="1" customWidth="1"/>
    <col min="72" max="73" width="11.44140625" bestFit="1" customWidth="1"/>
  </cols>
  <sheetData>
    <row r="1" spans="1:75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115"/>
      <c r="AL1" s="116"/>
      <c r="AM1" s="117"/>
      <c r="AN1" s="118" t="s">
        <v>53</v>
      </c>
      <c r="AO1" s="119"/>
      <c r="AP1" s="120"/>
      <c r="AQ1" s="121"/>
      <c r="AR1" s="145"/>
      <c r="AS1" s="146"/>
      <c r="AT1" s="147"/>
      <c r="AU1" s="148" t="s">
        <v>55</v>
      </c>
      <c r="AV1" s="149"/>
      <c r="AW1" s="150"/>
      <c r="AX1" s="151"/>
      <c r="AY1" s="154"/>
      <c r="AZ1" s="155"/>
      <c r="BA1" s="156"/>
      <c r="BB1" s="157" t="s">
        <v>58</v>
      </c>
      <c r="BC1" s="158"/>
      <c r="BD1" s="159"/>
      <c r="BE1" s="160"/>
      <c r="BF1" s="163"/>
      <c r="BG1" s="164"/>
      <c r="BH1" s="165"/>
      <c r="BI1" s="166" t="s">
        <v>59</v>
      </c>
      <c r="BJ1" s="167"/>
      <c r="BK1" s="168"/>
      <c r="BL1" s="169"/>
      <c r="BM1" s="66"/>
      <c r="BN1" s="67"/>
      <c r="BO1" s="68"/>
      <c r="BP1" s="69" t="s">
        <v>46</v>
      </c>
      <c r="BQ1" s="67"/>
      <c r="BR1" s="68"/>
      <c r="BS1" s="70"/>
      <c r="BT1" s="71"/>
      <c r="BU1" s="72"/>
    </row>
    <row r="2" spans="1:75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22" t="s">
        <v>5</v>
      </c>
      <c r="AO2" s="123" t="s">
        <v>6</v>
      </c>
      <c r="AP2" s="124" t="s">
        <v>7</v>
      </c>
      <c r="AQ2" s="125" t="s">
        <v>5</v>
      </c>
      <c r="AR2" s="8" t="s">
        <v>2</v>
      </c>
      <c r="AS2" s="9" t="s">
        <v>3</v>
      </c>
      <c r="AT2" s="10" t="s">
        <v>4</v>
      </c>
      <c r="AU2" s="11" t="s">
        <v>5</v>
      </c>
      <c r="AV2" s="123" t="s">
        <v>6</v>
      </c>
      <c r="AW2" s="124" t="s">
        <v>7</v>
      </c>
      <c r="AX2" s="13" t="s">
        <v>5</v>
      </c>
      <c r="AY2" s="8" t="s">
        <v>2</v>
      </c>
      <c r="AZ2" s="9" t="s">
        <v>3</v>
      </c>
      <c r="BA2" s="10" t="s">
        <v>4</v>
      </c>
      <c r="BB2" s="11" t="s">
        <v>5</v>
      </c>
      <c r="BC2" s="123" t="s">
        <v>6</v>
      </c>
      <c r="BD2" s="124" t="s">
        <v>7</v>
      </c>
      <c r="BE2" s="13" t="s">
        <v>5</v>
      </c>
      <c r="BF2" s="8" t="s">
        <v>2</v>
      </c>
      <c r="BG2" s="9" t="s">
        <v>3</v>
      </c>
      <c r="BH2" s="10" t="s">
        <v>4</v>
      </c>
      <c r="BI2" s="11" t="s">
        <v>5</v>
      </c>
      <c r="BJ2" s="123" t="s">
        <v>6</v>
      </c>
      <c r="BK2" s="124" t="s">
        <v>7</v>
      </c>
      <c r="BL2" s="13" t="s">
        <v>5</v>
      </c>
      <c r="BM2" s="8" t="s">
        <v>2</v>
      </c>
      <c r="BN2" s="9" t="s">
        <v>3</v>
      </c>
      <c r="BO2" s="10" t="s">
        <v>4</v>
      </c>
      <c r="BP2" s="11" t="s">
        <v>5</v>
      </c>
      <c r="BQ2" s="12" t="s">
        <v>6</v>
      </c>
      <c r="BR2" s="10" t="s">
        <v>7</v>
      </c>
      <c r="BS2" s="13" t="s">
        <v>5</v>
      </c>
      <c r="BT2" s="73" t="s">
        <v>47</v>
      </c>
      <c r="BU2" s="74" t="s">
        <v>48</v>
      </c>
    </row>
    <row r="3" spans="1:75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6"/>
      <c r="AM3" s="17"/>
      <c r="AN3" s="126"/>
      <c r="AO3" s="127"/>
      <c r="AP3" s="128"/>
      <c r="AQ3" s="129"/>
      <c r="AR3" s="15"/>
      <c r="AS3" s="16"/>
      <c r="AT3" s="17"/>
      <c r="AU3" s="18"/>
      <c r="AV3" s="127"/>
      <c r="AW3" s="128"/>
      <c r="AX3" s="21"/>
      <c r="AY3" s="15"/>
      <c r="AZ3" s="16"/>
      <c r="BA3" s="17"/>
      <c r="BB3" s="18"/>
      <c r="BC3" s="127"/>
      <c r="BD3" s="128"/>
      <c r="BE3" s="21"/>
      <c r="BF3" s="15"/>
      <c r="BG3" s="16"/>
      <c r="BH3" s="17"/>
      <c r="BI3" s="18"/>
      <c r="BJ3" s="127"/>
      <c r="BK3" s="128"/>
      <c r="BL3" s="21"/>
      <c r="BM3" s="15"/>
      <c r="BN3" s="15"/>
      <c r="BO3" s="77"/>
      <c r="BP3" s="18"/>
      <c r="BQ3" s="19"/>
      <c r="BR3" s="20"/>
      <c r="BS3" s="21"/>
      <c r="BT3" s="16"/>
      <c r="BU3" s="26"/>
    </row>
    <row r="4" spans="1:75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1100559.3999999999</v>
      </c>
      <c r="AI4" s="25">
        <f>+AH4-AD4</f>
        <v>-238190.60000000009</v>
      </c>
      <c r="AJ4" s="18">
        <f>+AH4/AD4</f>
        <v>0.82207985060690936</v>
      </c>
      <c r="AK4" s="23">
        <v>1338750</v>
      </c>
      <c r="AL4" s="16">
        <v>1381159.65</v>
      </c>
      <c r="AM4" s="24">
        <f>+AL4-AK4</f>
        <v>42409.649999999907</v>
      </c>
      <c r="AN4" s="47">
        <f>+AL4/AK4</f>
        <v>1.031678543417367</v>
      </c>
      <c r="AO4" s="130">
        <v>1415472.58</v>
      </c>
      <c r="AP4" s="131">
        <f>+AO4-AK4</f>
        <v>76722.580000000075</v>
      </c>
      <c r="AQ4" s="47">
        <f>+AO4/AK4</f>
        <v>1.0573091167133521</v>
      </c>
      <c r="AR4" s="23">
        <v>1338750</v>
      </c>
      <c r="AS4" s="16">
        <v>1949080.02</v>
      </c>
      <c r="AT4" s="24">
        <f>+AS4-AR4</f>
        <v>610330.02</v>
      </c>
      <c r="AU4" s="47">
        <f>+AS4/AR4</f>
        <v>1.4558954397759103</v>
      </c>
      <c r="AV4" s="130">
        <v>1200411.3899999999</v>
      </c>
      <c r="AW4" s="131">
        <f>+AV4-AR4</f>
        <v>-138338.6100000001</v>
      </c>
      <c r="AX4" s="18">
        <f>+AV4/AR4</f>
        <v>0.89666583753501394</v>
      </c>
      <c r="AY4" s="23">
        <v>1338750</v>
      </c>
      <c r="AZ4" s="16">
        <v>1164168.8</v>
      </c>
      <c r="BA4" s="24">
        <f>+AZ4-AY4</f>
        <v>-174581.19999999995</v>
      </c>
      <c r="BB4" s="18">
        <f>+AZ4/AY4</f>
        <v>0.86959387488328665</v>
      </c>
      <c r="BC4" s="130">
        <v>1752835.15</v>
      </c>
      <c r="BD4" s="131">
        <f>+BC4-AY4</f>
        <v>414085.14999999991</v>
      </c>
      <c r="BE4" s="47">
        <f>+BC4/AY4</f>
        <v>1.3093073015873016</v>
      </c>
      <c r="BF4" s="23">
        <v>1338750</v>
      </c>
      <c r="BG4" s="46">
        <v>1575449.359310345</v>
      </c>
      <c r="BH4" s="24">
        <f>+BG4-BF4</f>
        <v>236699.35931034503</v>
      </c>
      <c r="BI4" s="18">
        <f>+BG4/BF4</f>
        <v>1.1768062441160374</v>
      </c>
      <c r="BJ4" s="130">
        <v>556109.49</v>
      </c>
      <c r="BK4" s="131">
        <f>+BJ4-BF4</f>
        <v>-782640.51</v>
      </c>
      <c r="BL4" s="18">
        <f>+BJ4/BF4</f>
        <v>0.41539457703081234</v>
      </c>
      <c r="BM4" s="23">
        <f>+B4+I4+P4+W4+AD4+AK4+AR4+AY4+BF4</f>
        <v>12048750</v>
      </c>
      <c r="BN4" s="23">
        <f>+C4+J4+Q4+X4+AE4+AL4+AS4+AZ4+BG4</f>
        <v>11257749.149310347</v>
      </c>
      <c r="BO4" s="24">
        <f>+BN4-BM4</f>
        <v>-791000.85068965331</v>
      </c>
      <c r="BP4" s="18">
        <f>+BN4/BM4</f>
        <v>0.93434996570684481</v>
      </c>
      <c r="BQ4" s="16">
        <f>+F4+M4+T4+AA4+AH4+AO4+AV4+BC4+BJ4</f>
        <v>9140799.1199999992</v>
      </c>
      <c r="BR4" s="25">
        <f>+BQ4-BM4</f>
        <v>-2907950.8800000008</v>
      </c>
      <c r="BS4" s="18">
        <f>+BQ4/BM4</f>
        <v>0.75865123934018042</v>
      </c>
      <c r="BT4" s="16">
        <f>+BN4/9</f>
        <v>1250861.0165900385</v>
      </c>
      <c r="BU4" s="26">
        <f>+BQ4/9</f>
        <v>1015644.3466666666</v>
      </c>
      <c r="BW4" s="34">
        <f>+C4+J4+Q4+X4+AE4+AL4+AS4+AZ4+BG4</f>
        <v>11257749.149310347</v>
      </c>
    </row>
    <row r="5" spans="1:75" x14ac:dyDescent="0.3">
      <c r="A5" s="22" t="s">
        <v>9</v>
      </c>
      <c r="B5" s="23"/>
      <c r="C5" s="16"/>
      <c r="D5" s="24">
        <f t="shared" ref="D5:D19" si="0">+C5-B5</f>
        <v>0</v>
      </c>
      <c r="E5" s="18"/>
      <c r="F5" s="28"/>
      <c r="G5" s="25">
        <f t="shared" ref="G5:G19" si="1">+F5-B5</f>
        <v>0</v>
      </c>
      <c r="H5" s="18"/>
      <c r="I5" s="23"/>
      <c r="J5" s="16"/>
      <c r="K5" s="24">
        <f t="shared" ref="K5:K19" si="2">+J5-I5</f>
        <v>0</v>
      </c>
      <c r="L5" s="18"/>
      <c r="M5" s="28"/>
      <c r="N5" s="25">
        <f t="shared" ref="N5:N13" si="3">+M5-I5</f>
        <v>0</v>
      </c>
      <c r="O5" s="18"/>
      <c r="P5" s="23"/>
      <c r="Q5" s="16">
        <v>333.62</v>
      </c>
      <c r="R5" s="24">
        <f t="shared" ref="R5:R19" si="4">+Q5-P5</f>
        <v>333.62</v>
      </c>
      <c r="S5" s="18"/>
      <c r="T5" s="28"/>
      <c r="U5" s="25">
        <f t="shared" ref="U5:U13" si="5">+T5-P5</f>
        <v>0</v>
      </c>
      <c r="V5" s="18"/>
      <c r="W5" s="23"/>
      <c r="X5" s="16"/>
      <c r="Y5" s="24">
        <f t="shared" ref="Y5:Y19" si="6">+X5-W5</f>
        <v>0</v>
      </c>
      <c r="Z5" s="18"/>
      <c r="AA5" s="28"/>
      <c r="AB5" s="25">
        <f t="shared" ref="AB5:AB13" si="7">+AA5-W5</f>
        <v>0</v>
      </c>
      <c r="AC5" s="18"/>
      <c r="AD5" s="23"/>
      <c r="AE5" s="16"/>
      <c r="AF5" s="24">
        <f t="shared" ref="AF5:AF19" si="8">+AE5-AD5</f>
        <v>0</v>
      </c>
      <c r="AG5" s="18"/>
      <c r="AH5" s="28"/>
      <c r="AI5" s="25">
        <f t="shared" ref="AI5:AI13" si="9">+AH5-AD5</f>
        <v>0</v>
      </c>
      <c r="AJ5" s="18"/>
      <c r="AK5" s="23"/>
      <c r="AL5" s="16"/>
      <c r="AM5" s="24">
        <f t="shared" ref="AM5:AM19" si="10">+AL5-AK5</f>
        <v>0</v>
      </c>
      <c r="AN5" s="126"/>
      <c r="AO5" s="132"/>
      <c r="AP5" s="131">
        <f t="shared" ref="AP5:AP13" si="11">+AO5-AK5</f>
        <v>0</v>
      </c>
      <c r="AQ5" s="126"/>
      <c r="AR5" s="23"/>
      <c r="AS5" s="16"/>
      <c r="AT5" s="24">
        <f t="shared" ref="AT5:AT19" si="12">+AS5-AR5</f>
        <v>0</v>
      </c>
      <c r="AU5" s="18"/>
      <c r="AV5" s="132"/>
      <c r="AW5" s="131">
        <f t="shared" ref="AW5:AW13" si="13">+AV5-AR5</f>
        <v>0</v>
      </c>
      <c r="AX5" s="18"/>
      <c r="AY5" s="23"/>
      <c r="AZ5" s="16"/>
      <c r="BA5" s="24">
        <f t="shared" ref="BA5:BA19" si="14">+AZ5-AY5</f>
        <v>0</v>
      </c>
      <c r="BB5" s="18"/>
      <c r="BC5" s="132"/>
      <c r="BD5" s="131">
        <f t="shared" ref="BD5:BD13" si="15">+BC5-AY5</f>
        <v>0</v>
      </c>
      <c r="BE5" s="18"/>
      <c r="BF5" s="23"/>
      <c r="BG5" s="46">
        <v>5172.4137931034484</v>
      </c>
      <c r="BH5" s="24">
        <f t="shared" ref="BH5:BH19" si="16">+BG5-BF5</f>
        <v>5172.4137931034484</v>
      </c>
      <c r="BI5" s="18"/>
      <c r="BJ5" s="132"/>
      <c r="BK5" s="131">
        <f t="shared" ref="BK5:BK13" si="17">+BJ5-BF5</f>
        <v>0</v>
      </c>
      <c r="BL5" s="18"/>
      <c r="BM5" s="23">
        <f t="shared" ref="BM5:BM20" si="18">+B5+I5+P5+W5+AD5+AK5+AR5+AY5+BF5</f>
        <v>0</v>
      </c>
      <c r="BN5" s="23">
        <f t="shared" ref="BN5:BN20" si="19">+C5+J5+Q5+X5+AE5+AL5+AS5+AZ5+BG5</f>
        <v>5506.0337931034483</v>
      </c>
      <c r="BO5" s="24">
        <f t="shared" ref="BO5:BO20" si="20">+BN5-BM5</f>
        <v>5506.0337931034483</v>
      </c>
      <c r="BP5" s="18"/>
      <c r="BQ5" s="16">
        <f t="shared" ref="BQ5:BQ20" si="21">+F5+M5+T5+AA5+AH5+AO5+AV5+BC5+BJ5</f>
        <v>0</v>
      </c>
      <c r="BR5" s="25">
        <f t="shared" ref="BR5:BR20" si="22">+BQ5-BM5</f>
        <v>0</v>
      </c>
      <c r="BS5" s="18"/>
      <c r="BT5" s="16">
        <f t="shared" ref="BT5:BT20" si="23">+BN5/9</f>
        <v>611.78153256704979</v>
      </c>
      <c r="BU5" s="26">
        <f t="shared" ref="BU5:BU20" si="24">+BQ5/9</f>
        <v>0</v>
      </c>
    </row>
    <row r="6" spans="1:75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3" si="25">+C6/B6</f>
        <v>1.5115234571428571</v>
      </c>
      <c r="F6" s="28">
        <v>733269.34</v>
      </c>
      <c r="G6" s="25">
        <f t="shared" si="1"/>
        <v>383269.33999999997</v>
      </c>
      <c r="H6" s="47">
        <f t="shared" ref="H6:H19" si="26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3" si="27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3" si="28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3" si="29">+Q6/P6</f>
        <v>0.17456677777777779</v>
      </c>
      <c r="T6" s="28">
        <v>92549.31</v>
      </c>
      <c r="U6" s="25">
        <f t="shared" si="5"/>
        <v>-357450.69</v>
      </c>
      <c r="V6" s="18">
        <f t="shared" ref="V6:V13" si="30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3" si="31">+X6/W6</f>
        <v>0.44524607999999999</v>
      </c>
      <c r="AA6" s="28">
        <v>249803.76</v>
      </c>
      <c r="AB6" s="25">
        <f t="shared" si="7"/>
        <v>-250196.24</v>
      </c>
      <c r="AC6" s="18">
        <f t="shared" ref="AC6:AC13" si="32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3" si="33">+AE6/AD6</f>
        <v>0.16078852727272727</v>
      </c>
      <c r="AH6" s="28">
        <v>73899.7</v>
      </c>
      <c r="AI6" s="25">
        <f t="shared" si="9"/>
        <v>-476100.3</v>
      </c>
      <c r="AJ6" s="18">
        <f t="shared" ref="AJ6:AJ13" si="34">+AH6/AD6</f>
        <v>0.1343630909090909</v>
      </c>
      <c r="AK6" s="26">
        <v>600000</v>
      </c>
      <c r="AL6" s="16">
        <v>329742.83</v>
      </c>
      <c r="AM6" s="24">
        <f t="shared" si="10"/>
        <v>-270257.17</v>
      </c>
      <c r="AN6" s="126">
        <f t="shared" ref="AN6:AN13" si="35">+AL6/AK6</f>
        <v>0.54957138333333333</v>
      </c>
      <c r="AO6" s="132">
        <v>340216.77</v>
      </c>
      <c r="AP6" s="131">
        <f t="shared" si="11"/>
        <v>-259783.22999999998</v>
      </c>
      <c r="AQ6" s="126">
        <f t="shared" ref="AQ6:AQ13" si="36">+AO6/AK6</f>
        <v>0.56702795000000006</v>
      </c>
      <c r="AR6" s="26">
        <v>650000</v>
      </c>
      <c r="AS6" s="16">
        <v>244304.64000000001</v>
      </c>
      <c r="AT6" s="24">
        <f t="shared" si="12"/>
        <v>-405695.36</v>
      </c>
      <c r="AU6" s="18">
        <f t="shared" ref="AU6:AU13" si="37">+AS6/AR6</f>
        <v>0.37585329230769232</v>
      </c>
      <c r="AV6" s="132">
        <v>213600.19</v>
      </c>
      <c r="AW6" s="131">
        <f t="shared" si="13"/>
        <v>-436399.81</v>
      </c>
      <c r="AX6" s="18">
        <f t="shared" ref="AX6:AX13" si="38">+AV6/AR6</f>
        <v>0.32861567692307692</v>
      </c>
      <c r="AY6" s="26">
        <v>700000</v>
      </c>
      <c r="AZ6" s="16">
        <v>155132.24</v>
      </c>
      <c r="BA6" s="24">
        <f t="shared" si="14"/>
        <v>-544867.76</v>
      </c>
      <c r="BB6" s="18">
        <f t="shared" ref="BB6:BB13" si="39">+AZ6/AY6</f>
        <v>0.22161748571428569</v>
      </c>
      <c r="BC6" s="132">
        <v>165452.94</v>
      </c>
      <c r="BD6" s="131">
        <f t="shared" si="15"/>
        <v>-534547.06000000006</v>
      </c>
      <c r="BE6" s="18">
        <f t="shared" ref="BE6:BE13" si="40">+BC6/AY6</f>
        <v>0.23636134285714286</v>
      </c>
      <c r="BF6" s="26">
        <v>750000</v>
      </c>
      <c r="BG6" s="46">
        <v>85446.887931034493</v>
      </c>
      <c r="BH6" s="24">
        <f t="shared" si="16"/>
        <v>-664553.11206896557</v>
      </c>
      <c r="BI6" s="18">
        <f t="shared" ref="BI6:BI13" si="41">+BG6/BF6</f>
        <v>0.11392918390804599</v>
      </c>
      <c r="BJ6" s="132">
        <v>133652.01</v>
      </c>
      <c r="BK6" s="131">
        <f t="shared" si="17"/>
        <v>-616347.99</v>
      </c>
      <c r="BL6" s="18">
        <f t="shared" ref="BL6:BL13" si="42">+BJ6/BF6</f>
        <v>0.17820268</v>
      </c>
      <c r="BM6" s="23">
        <f t="shared" si="18"/>
        <v>4950000</v>
      </c>
      <c r="BN6" s="23">
        <f t="shared" si="19"/>
        <v>2260095.8979310342</v>
      </c>
      <c r="BO6" s="24">
        <f t="shared" si="20"/>
        <v>-2689904.1020689658</v>
      </c>
      <c r="BP6" s="18">
        <f t="shared" ref="BP6:BP19" si="43">+BN6/BM6</f>
        <v>0.45658502988505739</v>
      </c>
      <c r="BQ6" s="16">
        <f t="shared" si="21"/>
        <v>2292327.2999999998</v>
      </c>
      <c r="BR6" s="25">
        <f t="shared" si="22"/>
        <v>-2657672.7000000002</v>
      </c>
      <c r="BS6" s="18">
        <f t="shared" ref="BS6:BS19" si="44">+BQ6/BM6</f>
        <v>0.4630964242424242</v>
      </c>
      <c r="BT6" s="16">
        <f t="shared" si="23"/>
        <v>251121.76643678159</v>
      </c>
      <c r="BU6" s="26">
        <f t="shared" si="24"/>
        <v>254703.03333333333</v>
      </c>
    </row>
    <row r="7" spans="1:75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25"/>
        <v>1.2200101967493584</v>
      </c>
      <c r="F7" s="28">
        <v>1033129.09</v>
      </c>
      <c r="G7" s="25">
        <f t="shared" si="1"/>
        <v>156379.08999999997</v>
      </c>
      <c r="H7" s="105">
        <f t="shared" si="26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27"/>
        <v>1.2477482634730539</v>
      </c>
      <c r="M7" s="28">
        <v>1174515.3999999999</v>
      </c>
      <c r="N7" s="25">
        <f t="shared" si="3"/>
        <v>297765.39999999991</v>
      </c>
      <c r="O7" s="47">
        <f t="shared" si="28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29"/>
        <v>0.93849876247504993</v>
      </c>
      <c r="T7" s="28">
        <v>927646.45</v>
      </c>
      <c r="U7" s="25">
        <f t="shared" si="5"/>
        <v>50896.449999999953</v>
      </c>
      <c r="V7" s="47">
        <f t="shared" si="30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31"/>
        <v>0.84989789563729679</v>
      </c>
      <c r="AA7" s="28">
        <v>547748.51</v>
      </c>
      <c r="AB7" s="25">
        <f t="shared" si="7"/>
        <v>-329001.49</v>
      </c>
      <c r="AC7" s="18">
        <f t="shared" si="32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33"/>
        <v>0.94251808383233526</v>
      </c>
      <c r="AH7" s="28">
        <v>935266.05</v>
      </c>
      <c r="AI7" s="25">
        <f t="shared" si="9"/>
        <v>58516.050000000047</v>
      </c>
      <c r="AJ7" s="47">
        <f t="shared" si="34"/>
        <v>1.066742001710864</v>
      </c>
      <c r="AK7" s="26">
        <v>876750</v>
      </c>
      <c r="AL7" s="16">
        <v>788588.77</v>
      </c>
      <c r="AM7" s="24">
        <f t="shared" si="10"/>
        <v>-88161.229999999981</v>
      </c>
      <c r="AN7" s="126">
        <f t="shared" si="35"/>
        <v>0.89944541773595665</v>
      </c>
      <c r="AO7" s="132">
        <v>1028781.18</v>
      </c>
      <c r="AP7" s="131">
        <f t="shared" si="11"/>
        <v>152031.18000000005</v>
      </c>
      <c r="AQ7" s="47">
        <f t="shared" si="36"/>
        <v>1.1734031137724552</v>
      </c>
      <c r="AR7" s="26">
        <v>876750</v>
      </c>
      <c r="AS7" s="16">
        <v>1514700.85</v>
      </c>
      <c r="AT7" s="24">
        <f t="shared" si="12"/>
        <v>637950.85000000009</v>
      </c>
      <c r="AU7" s="47">
        <f t="shared" si="37"/>
        <v>1.7276314228685488</v>
      </c>
      <c r="AV7" s="132">
        <v>1275476.93</v>
      </c>
      <c r="AW7" s="131">
        <f t="shared" si="13"/>
        <v>398726.92999999993</v>
      </c>
      <c r="AX7" s="47">
        <f t="shared" si="38"/>
        <v>1.454778363273453</v>
      </c>
      <c r="AY7" s="26">
        <v>876750</v>
      </c>
      <c r="AZ7" s="16">
        <v>861517.78</v>
      </c>
      <c r="BA7" s="24">
        <f t="shared" si="14"/>
        <v>-15232.219999999972</v>
      </c>
      <c r="BB7" s="18">
        <f t="shared" si="39"/>
        <v>0.98262649558026804</v>
      </c>
      <c r="BC7" s="132">
        <v>859733.81</v>
      </c>
      <c r="BD7" s="131">
        <f t="shared" si="15"/>
        <v>-17016.189999999944</v>
      </c>
      <c r="BE7" s="18">
        <f t="shared" si="40"/>
        <v>0.98059174222982615</v>
      </c>
      <c r="BF7" s="26">
        <v>876750</v>
      </c>
      <c r="BG7" s="46">
        <v>585689.30172413797</v>
      </c>
      <c r="BH7" s="24">
        <f t="shared" si="16"/>
        <v>-291060.69827586203</v>
      </c>
      <c r="BI7" s="18">
        <f t="shared" si="41"/>
        <v>0.66802315565912518</v>
      </c>
      <c r="BJ7" s="132">
        <v>623893.64</v>
      </c>
      <c r="BK7" s="131">
        <f t="shared" si="17"/>
        <v>-252856.36</v>
      </c>
      <c r="BL7" s="18">
        <f t="shared" si="42"/>
        <v>0.71159810664385514</v>
      </c>
      <c r="BM7" s="23">
        <f t="shared" si="18"/>
        <v>7890750</v>
      </c>
      <c r="BN7" s="23">
        <f t="shared" si="19"/>
        <v>8308433.4317241376</v>
      </c>
      <c r="BO7" s="24">
        <f t="shared" si="20"/>
        <v>417683.43172413763</v>
      </c>
      <c r="BP7" s="47">
        <f t="shared" si="43"/>
        <v>1.0529332993345548</v>
      </c>
      <c r="BQ7" s="16">
        <f t="shared" si="21"/>
        <v>8406191.0599999987</v>
      </c>
      <c r="BR7" s="25">
        <f t="shared" si="22"/>
        <v>515441.05999999866</v>
      </c>
      <c r="BS7" s="47">
        <f t="shared" si="44"/>
        <v>1.0653221886385957</v>
      </c>
      <c r="BT7" s="16">
        <f t="shared" si="23"/>
        <v>923159.27019157086</v>
      </c>
      <c r="BU7" s="26">
        <f t="shared" si="24"/>
        <v>934021.22888888873</v>
      </c>
    </row>
    <row r="8" spans="1:75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25"/>
        <v>0.35595089999999996</v>
      </c>
      <c r="F8" s="28">
        <v>19135.27</v>
      </c>
      <c r="G8" s="25">
        <f t="shared" si="1"/>
        <v>-80864.73</v>
      </c>
      <c r="H8" s="108">
        <f t="shared" si="26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27"/>
        <v>1.1560655333333332</v>
      </c>
      <c r="M8" s="28">
        <v>302930.28999999998</v>
      </c>
      <c r="N8" s="25">
        <f t="shared" si="3"/>
        <v>152930.28999999998</v>
      </c>
      <c r="O8" s="47">
        <f t="shared" si="28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29"/>
        <v>1.2518899999999999</v>
      </c>
      <c r="T8" s="28">
        <v>183223.25</v>
      </c>
      <c r="U8" s="25">
        <f t="shared" si="5"/>
        <v>-16776.75</v>
      </c>
      <c r="V8" s="18">
        <f t="shared" si="30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31"/>
        <v>1.2306406000000001</v>
      </c>
      <c r="AA8" s="28">
        <v>413578.44</v>
      </c>
      <c r="AB8" s="25">
        <f t="shared" si="7"/>
        <v>163578.44</v>
      </c>
      <c r="AC8" s="47">
        <f t="shared" si="32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33"/>
        <v>3.0624049666666666</v>
      </c>
      <c r="AH8" s="28">
        <v>1378236.43</v>
      </c>
      <c r="AI8" s="25">
        <f t="shared" si="9"/>
        <v>1078236.43</v>
      </c>
      <c r="AJ8" s="47">
        <f t="shared" si="34"/>
        <v>4.5941214333333331</v>
      </c>
      <c r="AK8" s="26">
        <v>350000</v>
      </c>
      <c r="AL8" s="16">
        <v>141282</v>
      </c>
      <c r="AM8" s="24">
        <f t="shared" si="10"/>
        <v>-208718</v>
      </c>
      <c r="AN8" s="126">
        <f t="shared" si="35"/>
        <v>0.40366285714285716</v>
      </c>
      <c r="AO8" s="132">
        <v>82357.23</v>
      </c>
      <c r="AP8" s="131">
        <f t="shared" si="11"/>
        <v>-267642.77</v>
      </c>
      <c r="AQ8" s="126">
        <f t="shared" si="36"/>
        <v>0.23530637142857141</v>
      </c>
      <c r="AR8" s="26">
        <v>400000</v>
      </c>
      <c r="AS8" s="16">
        <v>732884.89</v>
      </c>
      <c r="AT8" s="24">
        <f t="shared" si="12"/>
        <v>332884.89</v>
      </c>
      <c r="AU8" s="47">
        <f t="shared" si="37"/>
        <v>1.8322122250000001</v>
      </c>
      <c r="AV8" s="132">
        <v>387262.81</v>
      </c>
      <c r="AW8" s="131">
        <f t="shared" si="13"/>
        <v>-12737.190000000002</v>
      </c>
      <c r="AX8" s="18">
        <f t="shared" si="38"/>
        <v>0.968157025</v>
      </c>
      <c r="AY8" s="26">
        <v>450000</v>
      </c>
      <c r="AZ8" s="16">
        <v>194936.59</v>
      </c>
      <c r="BA8" s="24">
        <f t="shared" si="14"/>
        <v>-255063.41</v>
      </c>
      <c r="BB8" s="18">
        <f t="shared" si="39"/>
        <v>0.43319242222222221</v>
      </c>
      <c r="BC8" s="132">
        <v>161335.79999999999</v>
      </c>
      <c r="BD8" s="131">
        <f t="shared" si="15"/>
        <v>-288664.2</v>
      </c>
      <c r="BE8" s="18">
        <f t="shared" si="40"/>
        <v>0.35852399999999995</v>
      </c>
      <c r="BF8" s="26">
        <v>500000</v>
      </c>
      <c r="BG8" s="46">
        <v>58558.025862068971</v>
      </c>
      <c r="BH8" s="24">
        <f t="shared" si="16"/>
        <v>-441441.97413793101</v>
      </c>
      <c r="BI8" s="18">
        <f t="shared" si="41"/>
        <v>0.11711605172413794</v>
      </c>
      <c r="BJ8" s="132">
        <v>59478.1</v>
      </c>
      <c r="BK8" s="131">
        <f t="shared" si="17"/>
        <v>-440521.9</v>
      </c>
      <c r="BL8" s="18">
        <f t="shared" si="42"/>
        <v>0.1189562</v>
      </c>
      <c r="BM8" s="23">
        <f t="shared" si="18"/>
        <v>2700000</v>
      </c>
      <c r="BN8" s="23">
        <f t="shared" si="19"/>
        <v>2813426.0658620689</v>
      </c>
      <c r="BO8" s="24">
        <f t="shared" si="20"/>
        <v>113426.06586206891</v>
      </c>
      <c r="BP8" s="47">
        <f>+BN8/BM8</f>
        <v>1.0420096540229884</v>
      </c>
      <c r="BQ8" s="16">
        <f t="shared" si="21"/>
        <v>2987537.6199999996</v>
      </c>
      <c r="BR8" s="25">
        <f t="shared" si="22"/>
        <v>287537.61999999965</v>
      </c>
      <c r="BS8" s="47">
        <f t="shared" si="44"/>
        <v>1.1064954148148147</v>
      </c>
      <c r="BT8" s="16">
        <f t="shared" si="23"/>
        <v>312602.89620689652</v>
      </c>
      <c r="BU8" s="26">
        <f t="shared" si="24"/>
        <v>331948.62444444443</v>
      </c>
    </row>
    <row r="9" spans="1:75" x14ac:dyDescent="0.3">
      <c r="A9" s="152" t="s">
        <v>13</v>
      </c>
      <c r="B9" s="26">
        <v>500000</v>
      </c>
      <c r="C9" s="16"/>
      <c r="D9" s="24">
        <f t="shared" si="0"/>
        <v>-500000</v>
      </c>
      <c r="E9" s="18">
        <f t="shared" si="25"/>
        <v>0</v>
      </c>
      <c r="F9" s="28"/>
      <c r="G9" s="25">
        <f t="shared" si="1"/>
        <v>-500000</v>
      </c>
      <c r="H9" s="108">
        <f t="shared" si="26"/>
        <v>0</v>
      </c>
      <c r="I9" s="106">
        <v>550000</v>
      </c>
      <c r="J9" s="107"/>
      <c r="K9" s="24">
        <f t="shared" si="2"/>
        <v>-550000</v>
      </c>
      <c r="L9" s="108">
        <f t="shared" si="27"/>
        <v>0</v>
      </c>
      <c r="M9" s="28"/>
      <c r="N9" s="25">
        <f t="shared" si="3"/>
        <v>-550000</v>
      </c>
      <c r="O9" s="18">
        <f t="shared" si="28"/>
        <v>0</v>
      </c>
      <c r="P9" s="26">
        <v>600000</v>
      </c>
      <c r="Q9" s="16"/>
      <c r="R9" s="24">
        <f t="shared" si="4"/>
        <v>-600000</v>
      </c>
      <c r="S9" s="18">
        <f t="shared" si="29"/>
        <v>0</v>
      </c>
      <c r="T9" s="28"/>
      <c r="U9" s="25">
        <f t="shared" si="5"/>
        <v>-600000</v>
      </c>
      <c r="V9" s="18">
        <f t="shared" si="30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31"/>
        <v>0.15135869230769231</v>
      </c>
      <c r="AA9" s="28">
        <v>82902.45</v>
      </c>
      <c r="AB9" s="25">
        <f t="shared" si="7"/>
        <v>-567097.55000000005</v>
      </c>
      <c r="AC9" s="18">
        <f t="shared" si="32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33"/>
        <v>6.9524285714285712E-4</v>
      </c>
      <c r="AH9" s="28">
        <v>15967.69</v>
      </c>
      <c r="AI9" s="25">
        <f t="shared" si="9"/>
        <v>-684032.31</v>
      </c>
      <c r="AJ9" s="18">
        <f t="shared" si="34"/>
        <v>2.2810985714285716E-2</v>
      </c>
      <c r="AK9" s="26">
        <v>750000</v>
      </c>
      <c r="AL9" s="16"/>
      <c r="AM9" s="24">
        <f t="shared" si="10"/>
        <v>-750000</v>
      </c>
      <c r="AN9" s="126">
        <f t="shared" si="35"/>
        <v>0</v>
      </c>
      <c r="AO9" s="132"/>
      <c r="AP9" s="131">
        <f t="shared" si="11"/>
        <v>-750000</v>
      </c>
      <c r="AQ9" s="126">
        <f t="shared" si="36"/>
        <v>0</v>
      </c>
      <c r="AR9" s="26">
        <v>800000</v>
      </c>
      <c r="AS9" s="16"/>
      <c r="AT9" s="24">
        <f t="shared" si="12"/>
        <v>-800000</v>
      </c>
      <c r="AU9" s="18">
        <f t="shared" si="37"/>
        <v>0</v>
      </c>
      <c r="AV9" s="132"/>
      <c r="AW9" s="131">
        <f t="shared" si="13"/>
        <v>-800000</v>
      </c>
      <c r="AX9" s="18">
        <f t="shared" si="38"/>
        <v>0</v>
      </c>
      <c r="AY9" s="26">
        <v>850000</v>
      </c>
      <c r="AZ9" s="16"/>
      <c r="BA9" s="24">
        <f t="shared" si="14"/>
        <v>-850000</v>
      </c>
      <c r="BB9" s="18">
        <f t="shared" si="39"/>
        <v>0</v>
      </c>
      <c r="BC9" s="132"/>
      <c r="BD9" s="131">
        <f t="shared" si="15"/>
        <v>-850000</v>
      </c>
      <c r="BE9" s="18">
        <f t="shared" si="40"/>
        <v>0</v>
      </c>
      <c r="BF9" s="26">
        <v>876750</v>
      </c>
      <c r="BG9" s="16">
        <v>0</v>
      </c>
      <c r="BH9" s="24">
        <f t="shared" si="16"/>
        <v>-876750</v>
      </c>
      <c r="BI9" s="18">
        <f t="shared" si="41"/>
        <v>0</v>
      </c>
      <c r="BJ9" s="132"/>
      <c r="BK9" s="131">
        <f t="shared" si="17"/>
        <v>-876750</v>
      </c>
      <c r="BL9" s="18">
        <f t="shared" si="42"/>
        <v>0</v>
      </c>
      <c r="BM9" s="23">
        <f t="shared" si="18"/>
        <v>6276750</v>
      </c>
      <c r="BN9" s="23">
        <f t="shared" si="19"/>
        <v>98869.819999999992</v>
      </c>
      <c r="BO9" s="24">
        <f t="shared" si="20"/>
        <v>-6177880.1799999997</v>
      </c>
      <c r="BP9" s="18">
        <f t="shared" si="43"/>
        <v>1.575175369418887E-2</v>
      </c>
      <c r="BQ9" s="16">
        <f t="shared" si="21"/>
        <v>98870.14</v>
      </c>
      <c r="BR9" s="25">
        <f t="shared" si="22"/>
        <v>-6177879.8600000003</v>
      </c>
      <c r="BS9" s="18">
        <f t="shared" si="44"/>
        <v>1.5751804675986778E-2</v>
      </c>
      <c r="BT9" s="16">
        <f t="shared" si="23"/>
        <v>10985.535555555554</v>
      </c>
      <c r="BU9" s="26">
        <f t="shared" si="24"/>
        <v>10985.57111111111</v>
      </c>
    </row>
    <row r="10" spans="1:75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25"/>
        <v>0.53262757049486464</v>
      </c>
      <c r="F10" s="28">
        <v>722856.95</v>
      </c>
      <c r="G10" s="25">
        <f t="shared" si="1"/>
        <v>-615893.05000000005</v>
      </c>
      <c r="H10" s="108">
        <f t="shared" si="26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27"/>
        <v>0.57890987114845938</v>
      </c>
      <c r="M10" s="28">
        <v>628695.55000000005</v>
      </c>
      <c r="N10" s="25">
        <f t="shared" si="3"/>
        <v>-710054.45</v>
      </c>
      <c r="O10" s="18">
        <f t="shared" si="28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29"/>
        <v>1.1892632306255835</v>
      </c>
      <c r="T10" s="28">
        <v>252033.57</v>
      </c>
      <c r="U10" s="25">
        <f t="shared" si="5"/>
        <v>-1086716.43</v>
      </c>
      <c r="V10" s="18">
        <f t="shared" si="30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31"/>
        <v>1.1825044481792717</v>
      </c>
      <c r="AA10" s="28">
        <v>2214145.9300000002</v>
      </c>
      <c r="AB10" s="25">
        <f t="shared" si="7"/>
        <v>875395.93000000017</v>
      </c>
      <c r="AC10" s="47">
        <f t="shared" si="32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33"/>
        <v>0.32929548459383756</v>
      </c>
      <c r="AH10" s="28">
        <v>756675.73</v>
      </c>
      <c r="AI10" s="25">
        <f t="shared" si="9"/>
        <v>-582074.27</v>
      </c>
      <c r="AJ10" s="18">
        <f t="shared" si="34"/>
        <v>0.56521062931839405</v>
      </c>
      <c r="AK10" s="23">
        <v>1338750</v>
      </c>
      <c r="AL10" s="16">
        <v>272694.53000000003</v>
      </c>
      <c r="AM10" s="24">
        <f t="shared" si="10"/>
        <v>-1066055.47</v>
      </c>
      <c r="AN10" s="126">
        <f t="shared" si="35"/>
        <v>0.20369339309056958</v>
      </c>
      <c r="AO10" s="132">
        <v>104563.37</v>
      </c>
      <c r="AP10" s="131">
        <f t="shared" si="11"/>
        <v>-1234186.6299999999</v>
      </c>
      <c r="AQ10" s="126">
        <f t="shared" si="36"/>
        <v>7.8105225023342661E-2</v>
      </c>
      <c r="AR10" s="23">
        <v>1338750</v>
      </c>
      <c r="AS10" s="16">
        <v>431354.72</v>
      </c>
      <c r="AT10" s="24">
        <f t="shared" si="12"/>
        <v>-907395.28</v>
      </c>
      <c r="AU10" s="18">
        <f t="shared" si="37"/>
        <v>0.32220707376283847</v>
      </c>
      <c r="AV10" s="132">
        <v>212083.33</v>
      </c>
      <c r="AW10" s="131">
        <f t="shared" si="13"/>
        <v>-1126666.67</v>
      </c>
      <c r="AX10" s="18">
        <f t="shared" si="38"/>
        <v>0.15841892063492063</v>
      </c>
      <c r="AY10" s="23">
        <v>1338750</v>
      </c>
      <c r="AZ10" s="16">
        <v>353870.31</v>
      </c>
      <c r="BA10" s="24">
        <f t="shared" si="14"/>
        <v>-984879.69</v>
      </c>
      <c r="BB10" s="18">
        <f t="shared" si="39"/>
        <v>0.2643288963585434</v>
      </c>
      <c r="BC10" s="132">
        <v>509808.8</v>
      </c>
      <c r="BD10" s="131">
        <f t="shared" si="15"/>
        <v>-828941.2</v>
      </c>
      <c r="BE10" s="18">
        <f t="shared" si="40"/>
        <v>0.38080956115779646</v>
      </c>
      <c r="BF10" s="23">
        <v>1338750</v>
      </c>
      <c r="BG10" s="16">
        <v>1210437.0286206896</v>
      </c>
      <c r="BH10" s="24">
        <f t="shared" si="16"/>
        <v>-128312.97137931036</v>
      </c>
      <c r="BI10" s="18">
        <f t="shared" si="41"/>
        <v>0.90415464322740591</v>
      </c>
      <c r="BJ10" s="132">
        <v>1267586.7</v>
      </c>
      <c r="BK10" s="131">
        <f t="shared" si="17"/>
        <v>-71163.300000000047</v>
      </c>
      <c r="BL10" s="18">
        <f t="shared" si="42"/>
        <v>0.94684347338935571</v>
      </c>
      <c r="BM10" s="23">
        <f t="shared" si="18"/>
        <v>12048750</v>
      </c>
      <c r="BN10" s="23">
        <f t="shared" si="19"/>
        <v>7372475.6486206893</v>
      </c>
      <c r="BO10" s="24">
        <f t="shared" si="20"/>
        <v>-4676274.3513793107</v>
      </c>
      <c r="BP10" s="18">
        <f t="shared" si="43"/>
        <v>0.611887179053486</v>
      </c>
      <c r="BQ10" s="16">
        <f t="shared" si="21"/>
        <v>6668449.9300000006</v>
      </c>
      <c r="BR10" s="25">
        <f t="shared" si="22"/>
        <v>-5380300.0699999994</v>
      </c>
      <c r="BS10" s="18">
        <f t="shared" si="44"/>
        <v>0.55345574686170773</v>
      </c>
      <c r="BT10" s="16">
        <f t="shared" si="23"/>
        <v>819163.9609578544</v>
      </c>
      <c r="BU10" s="26">
        <f t="shared" si="24"/>
        <v>740938.88111111114</v>
      </c>
    </row>
    <row r="11" spans="1:75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25"/>
        <v>1.5186024201680672</v>
      </c>
      <c r="F11" s="28">
        <v>927392.51</v>
      </c>
      <c r="G11" s="25">
        <f t="shared" si="1"/>
        <v>-411357.49</v>
      </c>
      <c r="H11" s="108">
        <f t="shared" si="26"/>
        <v>0.69273016619981331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27"/>
        <v>1.2767597908496731</v>
      </c>
      <c r="M11" s="28">
        <v>365024.32</v>
      </c>
      <c r="N11" s="25">
        <f t="shared" si="3"/>
        <v>-973725.67999999993</v>
      </c>
      <c r="O11" s="18">
        <f t="shared" si="28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29"/>
        <v>0.45679382259570495</v>
      </c>
      <c r="T11" s="28">
        <v>615830.28</v>
      </c>
      <c r="U11" s="25">
        <f t="shared" si="5"/>
        <v>-722919.72</v>
      </c>
      <c r="V11" s="18">
        <f t="shared" si="30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31"/>
        <v>0.27551929785247437</v>
      </c>
      <c r="AA11" s="28">
        <v>381124.19</v>
      </c>
      <c r="AB11" s="25">
        <f t="shared" si="7"/>
        <v>-957625.81</v>
      </c>
      <c r="AC11" s="18">
        <f t="shared" si="32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33"/>
        <v>0.10908490009337068</v>
      </c>
      <c r="AH11" s="28">
        <v>125362.71</v>
      </c>
      <c r="AI11" s="25">
        <f t="shared" si="9"/>
        <v>-1213387.29</v>
      </c>
      <c r="AJ11" s="18">
        <f t="shared" si="34"/>
        <v>9.364161344537815E-2</v>
      </c>
      <c r="AK11" s="23">
        <v>1338750</v>
      </c>
      <c r="AL11" s="16">
        <v>1501000.36</v>
      </c>
      <c r="AM11" s="24">
        <f t="shared" si="10"/>
        <v>162250.3600000001</v>
      </c>
      <c r="AN11" s="47">
        <f t="shared" si="35"/>
        <v>1.1211954136321196</v>
      </c>
      <c r="AO11" s="132">
        <v>951284.35</v>
      </c>
      <c r="AP11" s="131">
        <f t="shared" si="11"/>
        <v>-387465.65</v>
      </c>
      <c r="AQ11" s="126">
        <f t="shared" si="36"/>
        <v>0.71057654528478054</v>
      </c>
      <c r="AR11" s="23">
        <v>1338750</v>
      </c>
      <c r="AS11" s="16">
        <v>1325161.8400000001</v>
      </c>
      <c r="AT11" s="24">
        <f t="shared" si="12"/>
        <v>-13588.159999999916</v>
      </c>
      <c r="AU11" s="18">
        <f t="shared" si="37"/>
        <v>0.98985011391223166</v>
      </c>
      <c r="AV11" s="132">
        <v>935934.95</v>
      </c>
      <c r="AW11" s="131">
        <f t="shared" si="13"/>
        <v>-402815.05000000005</v>
      </c>
      <c r="AX11" s="18">
        <f t="shared" si="38"/>
        <v>0.69911107376283843</v>
      </c>
      <c r="AY11" s="23">
        <v>1338750</v>
      </c>
      <c r="AZ11" s="16">
        <v>967881.18</v>
      </c>
      <c r="BA11" s="24">
        <f t="shared" si="14"/>
        <v>-370868.81999999995</v>
      </c>
      <c r="BB11" s="18">
        <f t="shared" si="39"/>
        <v>0.72297380392156863</v>
      </c>
      <c r="BC11" s="132">
        <v>725416.14</v>
      </c>
      <c r="BD11" s="131">
        <f t="shared" si="15"/>
        <v>-613333.86</v>
      </c>
      <c r="BE11" s="18">
        <f t="shared" si="40"/>
        <v>0.54186079551820732</v>
      </c>
      <c r="BF11" s="23">
        <v>1338750</v>
      </c>
      <c r="BG11" s="16">
        <v>805066.06034482759</v>
      </c>
      <c r="BH11" s="24">
        <f t="shared" si="16"/>
        <v>-533683.93965517241</v>
      </c>
      <c r="BI11" s="18">
        <f t="shared" si="41"/>
        <v>0.60135653433787306</v>
      </c>
      <c r="BJ11" s="132">
        <v>848729.08</v>
      </c>
      <c r="BK11" s="131">
        <f t="shared" si="17"/>
        <v>-490020.92000000004</v>
      </c>
      <c r="BL11" s="18">
        <f t="shared" si="42"/>
        <v>0.63397130158730153</v>
      </c>
      <c r="BM11" s="23">
        <f t="shared" si="18"/>
        <v>12048750</v>
      </c>
      <c r="BN11" s="23">
        <f t="shared" si="19"/>
        <v>9467822.2003448289</v>
      </c>
      <c r="BO11" s="24">
        <f t="shared" si="20"/>
        <v>-2580927.7996551711</v>
      </c>
      <c r="BP11" s="18">
        <f t="shared" si="43"/>
        <v>0.78579289970700938</v>
      </c>
      <c r="BQ11" s="16">
        <f t="shared" si="21"/>
        <v>5876098.5300000003</v>
      </c>
      <c r="BR11" s="25">
        <f t="shared" si="22"/>
        <v>-6172651.4699999997</v>
      </c>
      <c r="BS11" s="18">
        <f t="shared" si="44"/>
        <v>0.48769362215997514</v>
      </c>
      <c r="BT11" s="16">
        <f t="shared" si="23"/>
        <v>1051980.2444827587</v>
      </c>
      <c r="BU11" s="26">
        <f t="shared" si="24"/>
        <v>652899.83666666667</v>
      </c>
    </row>
    <row r="12" spans="1:75" x14ac:dyDescent="0.3">
      <c r="A12" s="22" t="s">
        <v>54</v>
      </c>
      <c r="B12" s="23"/>
      <c r="C12" s="16"/>
      <c r="D12" s="24"/>
      <c r="E12" s="47"/>
      <c r="F12" s="28"/>
      <c r="G12" s="25"/>
      <c r="H12" s="108"/>
      <c r="I12" s="109"/>
      <c r="J12" s="107"/>
      <c r="K12" s="24"/>
      <c r="L12" s="105"/>
      <c r="M12" s="28"/>
      <c r="N12" s="25"/>
      <c r="O12" s="18"/>
      <c r="P12" s="23"/>
      <c r="Q12" s="16"/>
      <c r="R12" s="24"/>
      <c r="S12" s="18"/>
      <c r="T12" s="28"/>
      <c r="U12" s="25"/>
      <c r="V12" s="18"/>
      <c r="W12" s="23"/>
      <c r="X12" s="16"/>
      <c r="Y12" s="24"/>
      <c r="Z12" s="18"/>
      <c r="AA12" s="28"/>
      <c r="AB12" s="25"/>
      <c r="AC12" s="18"/>
      <c r="AD12" s="23"/>
      <c r="AE12" s="16"/>
      <c r="AF12" s="24"/>
      <c r="AG12" s="18"/>
      <c r="AH12" s="28"/>
      <c r="AI12" s="25"/>
      <c r="AJ12" s="18"/>
      <c r="AK12" s="23">
        <v>100000</v>
      </c>
      <c r="AL12" s="16">
        <v>77926.22</v>
      </c>
      <c r="AM12" s="24">
        <f t="shared" si="10"/>
        <v>-22073.78</v>
      </c>
      <c r="AN12" s="126">
        <f t="shared" si="35"/>
        <v>0.77926220000000002</v>
      </c>
      <c r="AO12" s="132">
        <v>96150.06</v>
      </c>
      <c r="AP12" s="131">
        <f t="shared" si="11"/>
        <v>-3849.9400000000023</v>
      </c>
      <c r="AQ12" s="126">
        <f t="shared" si="36"/>
        <v>0.96150059999999993</v>
      </c>
      <c r="AR12" s="23">
        <v>150000</v>
      </c>
      <c r="AS12" s="16">
        <v>19318.25</v>
      </c>
      <c r="AT12" s="24">
        <f t="shared" si="12"/>
        <v>-130681.75</v>
      </c>
      <c r="AU12" s="18">
        <f t="shared" si="37"/>
        <v>0.12878833333333334</v>
      </c>
      <c r="AV12" s="132"/>
      <c r="AW12" s="131">
        <f t="shared" si="13"/>
        <v>-150000</v>
      </c>
      <c r="AX12" s="18">
        <f t="shared" si="38"/>
        <v>0</v>
      </c>
      <c r="AY12" s="23">
        <v>200000</v>
      </c>
      <c r="AZ12" s="16"/>
      <c r="BA12" s="24">
        <f t="shared" si="14"/>
        <v>-200000</v>
      </c>
      <c r="BB12" s="18">
        <f t="shared" si="39"/>
        <v>0</v>
      </c>
      <c r="BC12" s="132"/>
      <c r="BD12" s="131">
        <f t="shared" si="15"/>
        <v>-200000</v>
      </c>
      <c r="BE12" s="18">
        <f t="shared" si="40"/>
        <v>0</v>
      </c>
      <c r="BF12" s="23">
        <v>250000</v>
      </c>
      <c r="BG12" s="16">
        <v>0</v>
      </c>
      <c r="BH12" s="24">
        <f t="shared" si="16"/>
        <v>-250000</v>
      </c>
      <c r="BI12" s="18">
        <f t="shared" si="41"/>
        <v>0</v>
      </c>
      <c r="BJ12" s="132">
        <v>9860.5</v>
      </c>
      <c r="BK12" s="131">
        <f t="shared" si="17"/>
        <v>-240139.5</v>
      </c>
      <c r="BL12" s="18">
        <f t="shared" si="42"/>
        <v>3.9441999999999998E-2</v>
      </c>
      <c r="BM12" s="23">
        <f t="shared" si="18"/>
        <v>700000</v>
      </c>
      <c r="BN12" s="23">
        <f t="shared" si="19"/>
        <v>97244.47</v>
      </c>
      <c r="BO12" s="24">
        <f t="shared" si="20"/>
        <v>-602755.53</v>
      </c>
      <c r="BP12" s="18">
        <f t="shared" si="43"/>
        <v>0.13892067142857142</v>
      </c>
      <c r="BQ12" s="16">
        <f t="shared" si="21"/>
        <v>106010.56</v>
      </c>
      <c r="BR12" s="25">
        <f t="shared" si="22"/>
        <v>-593989.43999999994</v>
      </c>
      <c r="BS12" s="18">
        <f t="shared" si="44"/>
        <v>0.15144365714285715</v>
      </c>
      <c r="BT12" s="16">
        <f t="shared" si="23"/>
        <v>10804.941111111111</v>
      </c>
      <c r="BU12" s="26">
        <f t="shared" si="24"/>
        <v>11778.951111111111</v>
      </c>
    </row>
    <row r="13" spans="1:75" x14ac:dyDescent="0.3">
      <c r="A13" s="22" t="s">
        <v>16</v>
      </c>
      <c r="B13" s="23">
        <v>1338750</v>
      </c>
      <c r="C13" s="16"/>
      <c r="D13" s="24">
        <f t="shared" si="0"/>
        <v>-1338750</v>
      </c>
      <c r="E13" s="18">
        <f t="shared" si="25"/>
        <v>0</v>
      </c>
      <c r="F13" s="28"/>
      <c r="G13" s="25">
        <f t="shared" si="1"/>
        <v>-1338750</v>
      </c>
      <c r="H13" s="18">
        <f t="shared" si="26"/>
        <v>0</v>
      </c>
      <c r="I13" s="23">
        <v>1338750</v>
      </c>
      <c r="J13" s="16">
        <v>8745.0499999999993</v>
      </c>
      <c r="K13" s="24">
        <f t="shared" si="2"/>
        <v>-1330004.95</v>
      </c>
      <c r="L13" s="18">
        <f t="shared" si="27"/>
        <v>6.5322502334267032E-3</v>
      </c>
      <c r="M13" s="28">
        <v>11537.74</v>
      </c>
      <c r="N13" s="25">
        <f t="shared" si="3"/>
        <v>-1327212.26</v>
      </c>
      <c r="O13" s="18">
        <f t="shared" si="28"/>
        <v>8.6182931839402423E-3</v>
      </c>
      <c r="P13" s="23">
        <v>1338750</v>
      </c>
      <c r="Q13" s="16">
        <v>120604.3</v>
      </c>
      <c r="R13" s="24">
        <f t="shared" si="4"/>
        <v>-1218145.7</v>
      </c>
      <c r="S13" s="18">
        <f t="shared" si="29"/>
        <v>9.0087245564892629E-2</v>
      </c>
      <c r="T13" s="28">
        <v>89914.14</v>
      </c>
      <c r="U13" s="25">
        <f t="shared" si="5"/>
        <v>-1248835.8600000001</v>
      </c>
      <c r="V13" s="18">
        <f t="shared" si="30"/>
        <v>6.7162756302521012E-2</v>
      </c>
      <c r="W13" s="23">
        <v>1338750</v>
      </c>
      <c r="X13" s="16">
        <v>51094.76</v>
      </c>
      <c r="Y13" s="24">
        <f t="shared" si="6"/>
        <v>-1287655.24</v>
      </c>
      <c r="Z13" s="18">
        <f t="shared" si="31"/>
        <v>3.8166020541549953E-2</v>
      </c>
      <c r="AA13" s="28"/>
      <c r="AB13" s="25">
        <f t="shared" si="7"/>
        <v>-1338750</v>
      </c>
      <c r="AC13" s="18">
        <f t="shared" si="32"/>
        <v>0</v>
      </c>
      <c r="AD13" s="23">
        <v>1338750</v>
      </c>
      <c r="AE13" s="16">
        <v>46220.78</v>
      </c>
      <c r="AF13" s="24">
        <f t="shared" si="8"/>
        <v>-1292529.22</v>
      </c>
      <c r="AG13" s="18">
        <f t="shared" si="33"/>
        <v>3.4525325863678805E-2</v>
      </c>
      <c r="AH13" s="28">
        <v>214363.17</v>
      </c>
      <c r="AI13" s="25">
        <f t="shared" si="9"/>
        <v>-1124386.83</v>
      </c>
      <c r="AJ13" s="18">
        <f t="shared" si="34"/>
        <v>0.1601218823529412</v>
      </c>
      <c r="AK13" s="23">
        <v>1338750</v>
      </c>
      <c r="AL13" s="16">
        <v>143506.5</v>
      </c>
      <c r="AM13" s="24">
        <f t="shared" si="10"/>
        <v>-1195243.5</v>
      </c>
      <c r="AN13" s="126">
        <f t="shared" si="35"/>
        <v>0.10719439775910364</v>
      </c>
      <c r="AO13" s="132">
        <v>111180.83</v>
      </c>
      <c r="AP13" s="131">
        <f t="shared" si="11"/>
        <v>-1227569.17</v>
      </c>
      <c r="AQ13" s="126">
        <f t="shared" si="36"/>
        <v>8.3048239028944912E-2</v>
      </c>
      <c r="AR13" s="23">
        <v>1338750</v>
      </c>
      <c r="AS13" s="16">
        <v>218278.76</v>
      </c>
      <c r="AT13" s="24">
        <f t="shared" si="12"/>
        <v>-1120471.24</v>
      </c>
      <c r="AU13" s="18">
        <f t="shared" si="37"/>
        <v>0.16304669281045753</v>
      </c>
      <c r="AV13" s="132">
        <v>22367.5</v>
      </c>
      <c r="AW13" s="131">
        <f t="shared" si="13"/>
        <v>-1316382.5</v>
      </c>
      <c r="AX13" s="18">
        <f t="shared" si="38"/>
        <v>1.6707749766573295E-2</v>
      </c>
      <c r="AY13" s="23">
        <v>1338750</v>
      </c>
      <c r="AZ13" s="16"/>
      <c r="BA13" s="24">
        <f t="shared" si="14"/>
        <v>-1338750</v>
      </c>
      <c r="BB13" s="18">
        <f t="shared" si="39"/>
        <v>0</v>
      </c>
      <c r="BC13" s="132">
        <v>14093.88</v>
      </c>
      <c r="BD13" s="131">
        <f t="shared" si="15"/>
        <v>-1324656.1200000001</v>
      </c>
      <c r="BE13" s="18">
        <f t="shared" si="40"/>
        <v>1.0527641456582632E-2</v>
      </c>
      <c r="BF13" s="23">
        <v>1338750</v>
      </c>
      <c r="BG13" s="16">
        <v>2294.8275862068967</v>
      </c>
      <c r="BH13" s="24">
        <f t="shared" si="16"/>
        <v>-1336455.1724137932</v>
      </c>
      <c r="BI13" s="18">
        <f t="shared" si="41"/>
        <v>1.7141569271386717E-3</v>
      </c>
      <c r="BJ13" s="132">
        <v>1493.45</v>
      </c>
      <c r="BK13" s="131">
        <f t="shared" si="17"/>
        <v>-1337256.55</v>
      </c>
      <c r="BL13" s="18">
        <f t="shared" si="42"/>
        <v>1.1155555555555556E-3</v>
      </c>
      <c r="BM13" s="23">
        <f t="shared" si="18"/>
        <v>12048750</v>
      </c>
      <c r="BN13" s="23">
        <f t="shared" si="19"/>
        <v>590744.97758620686</v>
      </c>
      <c r="BO13" s="24">
        <f t="shared" si="20"/>
        <v>-11458005.022413794</v>
      </c>
      <c r="BP13" s="18">
        <f t="shared" si="43"/>
        <v>4.9029565522249768E-2</v>
      </c>
      <c r="BQ13" s="16">
        <f t="shared" si="21"/>
        <v>464950.71000000008</v>
      </c>
      <c r="BR13" s="25">
        <f t="shared" si="22"/>
        <v>-11583799.289999999</v>
      </c>
      <c r="BS13" s="18">
        <f t="shared" si="44"/>
        <v>3.8589124183006543E-2</v>
      </c>
      <c r="BT13" s="16">
        <f t="shared" si="23"/>
        <v>65638.330842911877</v>
      </c>
      <c r="BU13" s="26">
        <f t="shared" si="24"/>
        <v>51661.19000000001</v>
      </c>
    </row>
    <row r="14" spans="1:75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9" si="45">+C14/B14</f>
        <v>4.5798640522875821E-2</v>
      </c>
      <c r="F14" s="28">
        <v>100067.31</v>
      </c>
      <c r="G14" s="25">
        <f t="shared" si="1"/>
        <v>-1238682.69</v>
      </c>
      <c r="H14" s="18">
        <f t="shared" si="26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ref="L14:L19" si="46">+J14/I14</f>
        <v>0.14859651914098973</v>
      </c>
      <c r="M14" s="28">
        <v>70010.070000000007</v>
      </c>
      <c r="N14" s="25">
        <f t="shared" ref="N14:N19" si="47">+M14-I14</f>
        <v>-1268739.93</v>
      </c>
      <c r="O14" s="18">
        <f t="shared" ref="O14:O19" si="48">+M14/I14</f>
        <v>5.2295103641456585E-2</v>
      </c>
      <c r="P14" s="23">
        <v>1338750</v>
      </c>
      <c r="Q14" s="16">
        <v>292575.34999999998</v>
      </c>
      <c r="R14" s="24">
        <f t="shared" si="4"/>
        <v>-1046174.65</v>
      </c>
      <c r="S14" s="18">
        <f t="shared" ref="S14:S19" si="49">+Q14/P14</f>
        <v>0.21854367880485526</v>
      </c>
      <c r="T14" s="28">
        <v>315180.46999999997</v>
      </c>
      <c r="U14" s="25">
        <f t="shared" ref="U14:U19" si="50">+T14-P14</f>
        <v>-1023569.53</v>
      </c>
      <c r="V14" s="18">
        <f t="shared" ref="V14:V19" si="51">+T14/P14</f>
        <v>0.23542892250233424</v>
      </c>
      <c r="W14" s="23">
        <v>1338750</v>
      </c>
      <c r="X14" s="16">
        <v>573857.67000000004</v>
      </c>
      <c r="Y14" s="24">
        <f t="shared" si="6"/>
        <v>-764892.33</v>
      </c>
      <c r="Z14" s="18">
        <f t="shared" ref="Z14" si="52">+X14/W14</f>
        <v>0.42865185434173675</v>
      </c>
      <c r="AA14" s="28">
        <v>274355.09000000003</v>
      </c>
      <c r="AB14" s="25">
        <f t="shared" ref="AB14:AB19" si="53">+AA14-W14</f>
        <v>-1064394.9099999999</v>
      </c>
      <c r="AC14" s="18">
        <f t="shared" ref="AC14" si="54">+AA14/W14</f>
        <v>0.20493377404295055</v>
      </c>
      <c r="AD14" s="23">
        <v>1338750</v>
      </c>
      <c r="AE14" s="16">
        <v>488350.75</v>
      </c>
      <c r="AF14" s="24">
        <f t="shared" si="8"/>
        <v>-850399.25</v>
      </c>
      <c r="AG14" s="18">
        <f t="shared" ref="AG14" si="55">+AE14/AD14</f>
        <v>0.36478113912231558</v>
      </c>
      <c r="AH14" s="28">
        <v>1278513.6599999999</v>
      </c>
      <c r="AI14" s="25">
        <f t="shared" ref="AI14:AI19" si="56">+AH14-AD14</f>
        <v>-60236.340000000084</v>
      </c>
      <c r="AJ14" s="18">
        <f t="shared" ref="AJ14" si="57">+AH14/AD14</f>
        <v>0.95500553501400554</v>
      </c>
      <c r="AK14" s="23">
        <v>1338750</v>
      </c>
      <c r="AL14" s="16">
        <v>1840443.58</v>
      </c>
      <c r="AM14" s="24">
        <f t="shared" si="10"/>
        <v>501693.58000000007</v>
      </c>
      <c r="AN14" s="47">
        <f t="shared" ref="AN14" si="58">+AL14/AK14</f>
        <v>1.374747772175537</v>
      </c>
      <c r="AO14" s="132">
        <v>2176517.37</v>
      </c>
      <c r="AP14" s="131">
        <f t="shared" ref="AP14:AP19" si="59">+AO14-AK14</f>
        <v>837767.37000000011</v>
      </c>
      <c r="AQ14" s="47">
        <f t="shared" ref="AQ14" si="60">+AO14/AK14</f>
        <v>1.6257832829131653</v>
      </c>
      <c r="AR14" s="23">
        <v>1338750</v>
      </c>
      <c r="AS14" s="16">
        <v>940159.19</v>
      </c>
      <c r="AT14" s="24">
        <f t="shared" si="12"/>
        <v>-398590.81000000006</v>
      </c>
      <c r="AU14" s="18">
        <f t="shared" ref="AU14" si="61">+AS14/AR14</f>
        <v>0.7022664351073763</v>
      </c>
      <c r="AV14" s="132">
        <v>876611.35</v>
      </c>
      <c r="AW14" s="131">
        <f t="shared" ref="AW14:AW19" si="62">+AV14-AR14</f>
        <v>-462138.65</v>
      </c>
      <c r="AX14" s="18">
        <f t="shared" ref="AX14" si="63">+AV14/AR14</f>
        <v>0.65479839402427631</v>
      </c>
      <c r="AY14" s="23">
        <v>1338750</v>
      </c>
      <c r="AZ14" s="16">
        <v>1346687.84</v>
      </c>
      <c r="BA14" s="24">
        <f t="shared" si="14"/>
        <v>7937.8400000000838</v>
      </c>
      <c r="BB14" s="47">
        <f t="shared" ref="BB14" si="64">+AZ14/AY14</f>
        <v>1.0059292922502334</v>
      </c>
      <c r="BC14" s="132">
        <v>1369594.22</v>
      </c>
      <c r="BD14" s="131">
        <f t="shared" ref="BD14:BD19" si="65">+BC14-AY14</f>
        <v>30844.219999999972</v>
      </c>
      <c r="BE14" s="47">
        <f t="shared" ref="BE14" si="66">+BC14/AY14</f>
        <v>1.0230395667600374</v>
      </c>
      <c r="BF14" s="23">
        <v>1338750</v>
      </c>
      <c r="BG14" s="16">
        <v>335072.74137931038</v>
      </c>
      <c r="BH14" s="24">
        <f t="shared" si="16"/>
        <v>-1003677.2586206896</v>
      </c>
      <c r="BI14" s="18">
        <f t="shared" ref="BI14" si="67">+BG14/BF14</f>
        <v>0.25028776200135228</v>
      </c>
      <c r="BJ14" s="132">
        <v>378291.21</v>
      </c>
      <c r="BK14" s="131">
        <f t="shared" ref="BK14:BK19" si="68">+BJ14-BF14</f>
        <v>-960458.79</v>
      </c>
      <c r="BL14" s="18">
        <f t="shared" ref="BL14" si="69">+BJ14/BF14</f>
        <v>0.28257046498599442</v>
      </c>
      <c r="BM14" s="23">
        <f t="shared" si="18"/>
        <v>12048750</v>
      </c>
      <c r="BN14" s="23">
        <f t="shared" si="19"/>
        <v>6077393.6413793107</v>
      </c>
      <c r="BO14" s="24">
        <f t="shared" si="20"/>
        <v>-5971356.3586206893</v>
      </c>
      <c r="BP14" s="18">
        <f t="shared" si="43"/>
        <v>0.50440034371858578</v>
      </c>
      <c r="BQ14" s="16">
        <f t="shared" si="21"/>
        <v>6839140.7499999991</v>
      </c>
      <c r="BR14" s="25">
        <f t="shared" si="22"/>
        <v>-5209609.2500000009</v>
      </c>
      <c r="BS14" s="18">
        <f t="shared" si="44"/>
        <v>0.56762242971262566</v>
      </c>
      <c r="BT14" s="16">
        <f t="shared" si="23"/>
        <v>675265.96015325678</v>
      </c>
      <c r="BU14" s="26">
        <f t="shared" si="24"/>
        <v>759904.52777777764</v>
      </c>
    </row>
    <row r="15" spans="1:75" x14ac:dyDescent="0.3">
      <c r="A15" s="22" t="s">
        <v>17</v>
      </c>
      <c r="B15" s="23"/>
      <c r="C15" s="16">
        <v>87046.92</v>
      </c>
      <c r="D15" s="24">
        <f>+C15-B15</f>
        <v>87046.92</v>
      </c>
      <c r="E15" s="18"/>
      <c r="F15" s="28"/>
      <c r="G15" s="25">
        <f>+F15-B15</f>
        <v>0</v>
      </c>
      <c r="H15" s="18"/>
      <c r="I15" s="23"/>
      <c r="J15" s="16">
        <v>115746.49</v>
      </c>
      <c r="K15" s="24">
        <f>+J15-I15</f>
        <v>115746.49</v>
      </c>
      <c r="L15" s="18"/>
      <c r="M15" s="28"/>
      <c r="N15" s="25">
        <f>+M15-I15</f>
        <v>0</v>
      </c>
      <c r="O15" s="18"/>
      <c r="P15" s="23"/>
      <c r="Q15" s="16">
        <v>91092.4</v>
      </c>
      <c r="R15" s="24">
        <f>+Q15-P15</f>
        <v>91092.4</v>
      </c>
      <c r="S15" s="18"/>
      <c r="T15" s="28"/>
      <c r="U15" s="25">
        <f>+T15-P15</f>
        <v>0</v>
      </c>
      <c r="V15" s="18"/>
      <c r="W15" s="23"/>
      <c r="X15" s="16"/>
      <c r="Y15" s="24">
        <f>+X15-W15</f>
        <v>0</v>
      </c>
      <c r="Z15" s="18"/>
      <c r="AA15" s="28"/>
      <c r="AB15" s="25">
        <f>+AA15-W15</f>
        <v>0</v>
      </c>
      <c r="AC15" s="18"/>
      <c r="AD15" s="23"/>
      <c r="AE15" s="16">
        <v>0</v>
      </c>
      <c r="AF15" s="24">
        <f>+AE15-AD15</f>
        <v>0</v>
      </c>
      <c r="AG15" s="18"/>
      <c r="AH15" s="28"/>
      <c r="AI15" s="25">
        <f>+AH15-AD15</f>
        <v>0</v>
      </c>
      <c r="AJ15" s="18"/>
      <c r="AK15" s="23"/>
      <c r="AL15" s="16">
        <v>1358.5</v>
      </c>
      <c r="AM15" s="24">
        <f>+AL15-AK15</f>
        <v>1358.5</v>
      </c>
      <c r="AN15" s="126"/>
      <c r="AO15" s="132"/>
      <c r="AP15" s="131">
        <f>+AO15-AK15</f>
        <v>0</v>
      </c>
      <c r="AQ15" s="126"/>
      <c r="AR15" s="23"/>
      <c r="AS15" s="16"/>
      <c r="AT15" s="24">
        <f>+AS15-AR15</f>
        <v>0</v>
      </c>
      <c r="AU15" s="18"/>
      <c r="AV15" s="132"/>
      <c r="AW15" s="131">
        <f>+AV15-AR15</f>
        <v>0</v>
      </c>
      <c r="AX15" s="18"/>
      <c r="AY15" s="23"/>
      <c r="AZ15" s="16"/>
      <c r="BA15" s="24">
        <f>+AZ15-AY15</f>
        <v>0</v>
      </c>
      <c r="BB15" s="18"/>
      <c r="BC15" s="132"/>
      <c r="BD15" s="131">
        <f>+BC15-AY15</f>
        <v>0</v>
      </c>
      <c r="BE15" s="18"/>
      <c r="BF15" s="23"/>
      <c r="BG15" s="16">
        <v>12581.422413793105</v>
      </c>
      <c r="BH15" s="24">
        <f>+BG15-BF15</f>
        <v>12581.422413793105</v>
      </c>
      <c r="BI15" s="18"/>
      <c r="BJ15" s="132">
        <v>12581.31</v>
      </c>
      <c r="BK15" s="131">
        <f>+BJ15-BF15</f>
        <v>12581.31</v>
      </c>
      <c r="BL15" s="18"/>
      <c r="BM15" s="23">
        <f>+B15+I15+P15+W15+AD15+AK15+AR15+AY15+BF15</f>
        <v>0</v>
      </c>
      <c r="BN15" s="23">
        <f>+C15+J15+Q15+X15+AE15+AL15+AS15+AZ15+BG15</f>
        <v>307825.7324137931</v>
      </c>
      <c r="BO15" s="24">
        <f>+BN15-BM15</f>
        <v>307825.7324137931</v>
      </c>
      <c r="BP15" s="18"/>
      <c r="BQ15" s="16">
        <f>+F15+M15+T15+AA15+AH15+AO15+AV15+BC15+BJ15</f>
        <v>12581.31</v>
      </c>
      <c r="BR15" s="25">
        <f>+BQ15-BM15</f>
        <v>12581.31</v>
      </c>
      <c r="BS15" s="18"/>
      <c r="BT15" s="16">
        <f>+BN15/9</f>
        <v>34202.859157088125</v>
      </c>
      <c r="BU15" s="26">
        <f>+BQ15/9</f>
        <v>1397.9233333333332</v>
      </c>
    </row>
    <row r="16" spans="1:75" x14ac:dyDescent="0.3">
      <c r="A16" s="153" t="s">
        <v>19</v>
      </c>
      <c r="B16" s="23">
        <v>400000</v>
      </c>
      <c r="C16" s="16">
        <v>29901.71</v>
      </c>
      <c r="D16" s="24">
        <f t="shared" si="0"/>
        <v>-370098.29</v>
      </c>
      <c r="E16" s="18">
        <f t="shared" si="45"/>
        <v>7.4754274999999995E-2</v>
      </c>
      <c r="F16" s="28">
        <v>24830.18</v>
      </c>
      <c r="G16" s="25">
        <f t="shared" si="1"/>
        <v>-375169.82</v>
      </c>
      <c r="H16" s="18">
        <f t="shared" si="26"/>
        <v>6.2075449999999997E-2</v>
      </c>
      <c r="I16" s="23">
        <v>450000</v>
      </c>
      <c r="J16" s="16">
        <v>17492.240000000002</v>
      </c>
      <c r="K16" s="24">
        <f t="shared" si="2"/>
        <v>-432507.76</v>
      </c>
      <c r="L16" s="18">
        <f t="shared" si="46"/>
        <v>3.887164444444445E-2</v>
      </c>
      <c r="M16" s="28">
        <v>17490.080000000002</v>
      </c>
      <c r="N16" s="25">
        <f t="shared" si="47"/>
        <v>-432509.92</v>
      </c>
      <c r="O16" s="18">
        <f t="shared" si="48"/>
        <v>3.8866844444444451E-2</v>
      </c>
      <c r="P16" s="23"/>
      <c r="Q16" s="16"/>
      <c r="R16" s="24">
        <f t="shared" si="4"/>
        <v>0</v>
      </c>
      <c r="S16" s="18"/>
      <c r="T16" s="28"/>
      <c r="U16" s="25">
        <f t="shared" si="50"/>
        <v>0</v>
      </c>
      <c r="V16" s="18"/>
      <c r="W16" s="23"/>
      <c r="X16" s="16"/>
      <c r="Y16" s="24">
        <f t="shared" si="6"/>
        <v>0</v>
      </c>
      <c r="Z16" s="18"/>
      <c r="AA16" s="28"/>
      <c r="AB16" s="25">
        <f t="shared" si="53"/>
        <v>0</v>
      </c>
      <c r="AC16" s="18"/>
      <c r="AD16" s="23"/>
      <c r="AE16" s="16"/>
      <c r="AF16" s="24">
        <f t="shared" si="8"/>
        <v>0</v>
      </c>
      <c r="AG16" s="18"/>
      <c r="AH16" s="28"/>
      <c r="AI16" s="25">
        <f t="shared" si="56"/>
        <v>0</v>
      </c>
      <c r="AJ16" s="18"/>
      <c r="AK16" s="23"/>
      <c r="AL16" s="16"/>
      <c r="AM16" s="24">
        <f t="shared" si="10"/>
        <v>0</v>
      </c>
      <c r="AN16" s="126"/>
      <c r="AO16" s="132"/>
      <c r="AP16" s="131">
        <f t="shared" si="59"/>
        <v>0</v>
      </c>
      <c r="AQ16" s="126"/>
      <c r="AR16" s="23"/>
      <c r="AS16" s="16"/>
      <c r="AT16" s="24">
        <f t="shared" si="12"/>
        <v>0</v>
      </c>
      <c r="AU16" s="18"/>
      <c r="AV16" s="132"/>
      <c r="AW16" s="131">
        <f t="shared" si="62"/>
        <v>0</v>
      </c>
      <c r="AX16" s="18"/>
      <c r="AY16" s="23"/>
      <c r="AZ16" s="16"/>
      <c r="BA16" s="24">
        <f t="shared" si="14"/>
        <v>0</v>
      </c>
      <c r="BB16" s="18"/>
      <c r="BC16" s="132"/>
      <c r="BD16" s="131">
        <f t="shared" si="65"/>
        <v>0</v>
      </c>
      <c r="BE16" s="18"/>
      <c r="BF16" s="23"/>
      <c r="BG16" s="16"/>
      <c r="BH16" s="24">
        <f t="shared" si="16"/>
        <v>0</v>
      </c>
      <c r="BI16" s="18"/>
      <c r="BJ16" s="132"/>
      <c r="BK16" s="131">
        <f t="shared" si="68"/>
        <v>0</v>
      </c>
      <c r="BL16" s="18"/>
      <c r="BM16" s="23">
        <f t="shared" si="18"/>
        <v>850000</v>
      </c>
      <c r="BN16" s="23">
        <f t="shared" si="19"/>
        <v>47393.95</v>
      </c>
      <c r="BO16" s="24">
        <f t="shared" si="20"/>
        <v>-802606.05</v>
      </c>
      <c r="BP16" s="18">
        <f t="shared" si="43"/>
        <v>5.5757588235294114E-2</v>
      </c>
      <c r="BQ16" s="16">
        <f t="shared" si="21"/>
        <v>42320.26</v>
      </c>
      <c r="BR16" s="25">
        <f t="shared" si="22"/>
        <v>-807679.74</v>
      </c>
      <c r="BS16" s="18">
        <f t="shared" si="44"/>
        <v>4.9788541176470594E-2</v>
      </c>
      <c r="BT16" s="16">
        <f t="shared" si="23"/>
        <v>5265.9944444444445</v>
      </c>
      <c r="BU16" s="26">
        <f t="shared" si="24"/>
        <v>4702.2511111111116</v>
      </c>
    </row>
    <row r="17" spans="1:73" x14ac:dyDescent="0.3">
      <c r="A17" s="22" t="s">
        <v>20</v>
      </c>
      <c r="B17" s="23">
        <v>1338750</v>
      </c>
      <c r="C17" s="16">
        <v>110791.25</v>
      </c>
      <c r="D17" s="24">
        <f t="shared" si="0"/>
        <v>-1227958.75</v>
      </c>
      <c r="E17" s="18">
        <f t="shared" si="45"/>
        <v>8.2757236227824466E-2</v>
      </c>
      <c r="F17" s="28">
        <v>136979.66</v>
      </c>
      <c r="G17" s="25">
        <f t="shared" si="1"/>
        <v>-1201770.3400000001</v>
      </c>
      <c r="H17" s="18">
        <f t="shared" si="26"/>
        <v>0.10231907376283847</v>
      </c>
      <c r="I17" s="23">
        <v>1338750</v>
      </c>
      <c r="J17" s="16">
        <v>78051.38</v>
      </c>
      <c r="K17" s="24">
        <f t="shared" si="2"/>
        <v>-1260698.6200000001</v>
      </c>
      <c r="L17" s="18">
        <f t="shared" si="46"/>
        <v>5.8301684407096176E-2</v>
      </c>
      <c r="M17" s="28">
        <v>40912.379999999997</v>
      </c>
      <c r="N17" s="25">
        <f t="shared" si="47"/>
        <v>-1297837.6200000001</v>
      </c>
      <c r="O17" s="18">
        <f t="shared" si="48"/>
        <v>3.0560134453781512E-2</v>
      </c>
      <c r="P17" s="23">
        <v>1338750</v>
      </c>
      <c r="Q17" s="16">
        <v>506672.98</v>
      </c>
      <c r="R17" s="24">
        <f t="shared" si="4"/>
        <v>-832077.02</v>
      </c>
      <c r="S17" s="18">
        <f t="shared" si="49"/>
        <v>0.37846721195144722</v>
      </c>
      <c r="T17" s="28">
        <v>952568.93</v>
      </c>
      <c r="U17" s="25">
        <f t="shared" si="50"/>
        <v>-386181.06999999995</v>
      </c>
      <c r="V17" s="18">
        <f t="shared" si="51"/>
        <v>0.7115360821661999</v>
      </c>
      <c r="W17" s="23">
        <v>1338750</v>
      </c>
      <c r="X17" s="16">
        <v>1183557.54</v>
      </c>
      <c r="Y17" s="24">
        <f t="shared" si="6"/>
        <v>-155192.45999999996</v>
      </c>
      <c r="Z17" s="18">
        <f t="shared" ref="Z17:Z19" si="70">+X17/W17</f>
        <v>0.88407659383753501</v>
      </c>
      <c r="AA17" s="28">
        <v>1644577.69</v>
      </c>
      <c r="AB17" s="25">
        <f t="shared" si="53"/>
        <v>305827.68999999994</v>
      </c>
      <c r="AC17" s="47">
        <f t="shared" ref="AC17:AC19" si="71">+AA17/W17</f>
        <v>1.2284427189542484</v>
      </c>
      <c r="AD17" s="23">
        <v>1338750</v>
      </c>
      <c r="AE17" s="16">
        <v>108786.81</v>
      </c>
      <c r="AF17" s="24">
        <f t="shared" si="8"/>
        <v>-1229963.19</v>
      </c>
      <c r="AG17" s="18">
        <f t="shared" ref="AG17:AG19" si="72">+AE17/AD17</f>
        <v>8.1259988795518212E-2</v>
      </c>
      <c r="AH17" s="28">
        <v>140161.89000000001</v>
      </c>
      <c r="AI17" s="25">
        <f t="shared" si="56"/>
        <v>-1198588.1099999999</v>
      </c>
      <c r="AJ17" s="18">
        <f t="shared" ref="AJ17:AJ19" si="73">+AH17/AD17</f>
        <v>0.10469608963585435</v>
      </c>
      <c r="AK17" s="23">
        <v>1338750</v>
      </c>
      <c r="AL17" s="16">
        <v>74020.34</v>
      </c>
      <c r="AM17" s="24">
        <f t="shared" si="10"/>
        <v>-1264729.6599999999</v>
      </c>
      <c r="AN17" s="126">
        <f t="shared" ref="AN17:AN19" si="74">+AL17/AK17</f>
        <v>5.5290636788048547E-2</v>
      </c>
      <c r="AO17" s="132">
        <v>146005.68</v>
      </c>
      <c r="AP17" s="131">
        <f t="shared" si="59"/>
        <v>-1192744.32</v>
      </c>
      <c r="AQ17" s="126">
        <f t="shared" ref="AQ17:AQ19" si="75">+AO17/AK17</f>
        <v>0.10906119887955182</v>
      </c>
      <c r="AR17" s="23">
        <v>1338750</v>
      </c>
      <c r="AS17" s="16">
        <v>1062229.75</v>
      </c>
      <c r="AT17" s="24">
        <f t="shared" si="12"/>
        <v>-276520.25</v>
      </c>
      <c r="AU17" s="18">
        <f t="shared" ref="AU17:AU19" si="76">+AS17/AR17</f>
        <v>0.79344892623716157</v>
      </c>
      <c r="AV17" s="132">
        <v>232860.09</v>
      </c>
      <c r="AW17" s="131">
        <f t="shared" si="62"/>
        <v>-1105889.9099999999</v>
      </c>
      <c r="AX17" s="18">
        <f t="shared" ref="AX17:AX19" si="77">+AV17/AR17</f>
        <v>0.17393844257703081</v>
      </c>
      <c r="AY17" s="23">
        <v>1338750</v>
      </c>
      <c r="AZ17" s="16">
        <v>791212.14</v>
      </c>
      <c r="BA17" s="24">
        <f t="shared" si="14"/>
        <v>-547537.86</v>
      </c>
      <c r="BB17" s="18">
        <f t="shared" ref="BB17:BB19" si="78">+AZ17/AY17</f>
        <v>0.59100813445378153</v>
      </c>
      <c r="BC17" s="132">
        <v>433439.98</v>
      </c>
      <c r="BD17" s="131">
        <f t="shared" si="65"/>
        <v>-905310.02</v>
      </c>
      <c r="BE17" s="18">
        <f t="shared" ref="BE17:BE19" si="79">+BC17/AY17</f>
        <v>0.32376469094304389</v>
      </c>
      <c r="BF17" s="23">
        <v>1338750</v>
      </c>
      <c r="BG17" s="16">
        <v>39103.79</v>
      </c>
      <c r="BH17" s="24">
        <f t="shared" si="16"/>
        <v>-1299646.21</v>
      </c>
      <c r="BI17" s="18">
        <f t="shared" ref="BI17:BI19" si="80">+BG17/BF17</f>
        <v>2.9209180205415502E-2</v>
      </c>
      <c r="BJ17" s="132">
        <v>353909.98</v>
      </c>
      <c r="BK17" s="131">
        <f t="shared" si="68"/>
        <v>-984840.02</v>
      </c>
      <c r="BL17" s="18">
        <f t="shared" ref="BL17:BL19" si="81">+BJ17/BF17</f>
        <v>0.26435852847805785</v>
      </c>
      <c r="BM17" s="23">
        <f t="shared" si="18"/>
        <v>12048750</v>
      </c>
      <c r="BN17" s="23">
        <f t="shared" si="19"/>
        <v>3954425.98</v>
      </c>
      <c r="BO17" s="24">
        <f t="shared" si="20"/>
        <v>-8094324.0199999996</v>
      </c>
      <c r="BP17" s="18">
        <f t="shared" si="43"/>
        <v>0.32820217698931425</v>
      </c>
      <c r="BQ17" s="16">
        <f t="shared" si="21"/>
        <v>4081416.2800000003</v>
      </c>
      <c r="BR17" s="25">
        <f t="shared" si="22"/>
        <v>-7967333.7199999997</v>
      </c>
      <c r="BS17" s="18">
        <f t="shared" si="44"/>
        <v>0.33874188442784525</v>
      </c>
      <c r="BT17" s="16">
        <f t="shared" si="23"/>
        <v>439380.66444444447</v>
      </c>
      <c r="BU17" s="26">
        <f t="shared" si="24"/>
        <v>453490.69777777779</v>
      </c>
    </row>
    <row r="18" spans="1:73" x14ac:dyDescent="0.3">
      <c r="A18" s="22" t="s">
        <v>21</v>
      </c>
      <c r="B18" s="23">
        <v>1338750</v>
      </c>
      <c r="C18" s="16">
        <v>2188130.21</v>
      </c>
      <c r="D18" s="24">
        <f t="shared" si="0"/>
        <v>849380.21</v>
      </c>
      <c r="E18" s="47">
        <f t="shared" si="45"/>
        <v>1.6344576732026144</v>
      </c>
      <c r="F18" s="29">
        <v>388875.15</v>
      </c>
      <c r="G18" s="25">
        <f t="shared" si="1"/>
        <v>-949874.85</v>
      </c>
      <c r="H18" s="18">
        <f t="shared" si="26"/>
        <v>0.29047630252100842</v>
      </c>
      <c r="I18" s="23">
        <v>1338750</v>
      </c>
      <c r="J18" s="16">
        <v>16172227.199999999</v>
      </c>
      <c r="K18" s="24">
        <f t="shared" si="2"/>
        <v>14833477.199999999</v>
      </c>
      <c r="L18" s="47">
        <f t="shared" si="46"/>
        <v>12.080095014005602</v>
      </c>
      <c r="M18" s="29">
        <v>5659626.5</v>
      </c>
      <c r="N18" s="25">
        <f t="shared" si="47"/>
        <v>4320876.5</v>
      </c>
      <c r="O18" s="47">
        <f t="shared" si="48"/>
        <v>4.2275454715219425</v>
      </c>
      <c r="P18" s="23">
        <v>1338750</v>
      </c>
      <c r="Q18" s="16">
        <v>5101264.1900000004</v>
      </c>
      <c r="R18" s="24">
        <f t="shared" si="4"/>
        <v>3762514.1900000004</v>
      </c>
      <c r="S18" s="47">
        <f t="shared" si="49"/>
        <v>3.8104681157796456</v>
      </c>
      <c r="T18" s="28">
        <v>1892875.05</v>
      </c>
      <c r="U18" s="25">
        <f t="shared" si="50"/>
        <v>554125.05000000005</v>
      </c>
      <c r="V18" s="47">
        <f t="shared" si="51"/>
        <v>1.4139122689075632</v>
      </c>
      <c r="W18" s="23">
        <v>1338750</v>
      </c>
      <c r="X18" s="16">
        <v>2461509.7799999998</v>
      </c>
      <c r="Y18" s="24">
        <f t="shared" si="6"/>
        <v>1122759.7799999998</v>
      </c>
      <c r="Z18" s="47">
        <f t="shared" si="70"/>
        <v>1.8386627675070026</v>
      </c>
      <c r="AA18" s="29">
        <v>3085661.51</v>
      </c>
      <c r="AB18" s="25">
        <f t="shared" si="53"/>
        <v>1746911.5099999998</v>
      </c>
      <c r="AC18" s="47">
        <f t="shared" si="71"/>
        <v>2.3048825471521939</v>
      </c>
      <c r="AD18" s="23">
        <v>1338750</v>
      </c>
      <c r="AE18" s="16">
        <v>1320118.92</v>
      </c>
      <c r="AF18" s="24">
        <f t="shared" si="8"/>
        <v>-18631.080000000075</v>
      </c>
      <c r="AG18" s="18">
        <f t="shared" si="72"/>
        <v>0.98608322689075623</v>
      </c>
      <c r="AH18" s="29">
        <v>3752930.45</v>
      </c>
      <c r="AI18" s="25">
        <f t="shared" si="56"/>
        <v>2414180.4500000002</v>
      </c>
      <c r="AJ18" s="47">
        <f t="shared" si="73"/>
        <v>2.8033093930905695</v>
      </c>
      <c r="AK18" s="23">
        <v>1338750</v>
      </c>
      <c r="AL18" s="16">
        <v>5457058.8799999999</v>
      </c>
      <c r="AM18" s="24">
        <f t="shared" si="10"/>
        <v>4118308.88</v>
      </c>
      <c r="AN18" s="47">
        <f t="shared" si="74"/>
        <v>4.0762344575163398</v>
      </c>
      <c r="AO18" s="130">
        <v>1054013.69</v>
      </c>
      <c r="AP18" s="131">
        <f t="shared" si="59"/>
        <v>-284736.31000000006</v>
      </c>
      <c r="AQ18" s="126">
        <f t="shared" si="75"/>
        <v>0.78731181325863675</v>
      </c>
      <c r="AR18" s="23">
        <v>1338750</v>
      </c>
      <c r="AS18" s="16">
        <v>1212046.08</v>
      </c>
      <c r="AT18" s="24">
        <f t="shared" si="12"/>
        <v>-126703.91999999993</v>
      </c>
      <c r="AU18" s="18">
        <f t="shared" si="76"/>
        <v>0.90535654901960794</v>
      </c>
      <c r="AV18" s="130">
        <v>661231.25</v>
      </c>
      <c r="AW18" s="131">
        <f t="shared" si="62"/>
        <v>-677518.75</v>
      </c>
      <c r="AX18" s="18">
        <f t="shared" si="77"/>
        <v>0.49391690009337069</v>
      </c>
      <c r="AY18" s="23">
        <v>1338750</v>
      </c>
      <c r="AZ18" s="16">
        <v>4196685.1900000004</v>
      </c>
      <c r="BA18" s="24">
        <f t="shared" si="14"/>
        <v>2857935.1900000004</v>
      </c>
      <c r="BB18" s="47">
        <f t="shared" si="78"/>
        <v>3.1347788534080303</v>
      </c>
      <c r="BC18" s="130">
        <v>500892.89</v>
      </c>
      <c r="BD18" s="131">
        <f t="shared" si="65"/>
        <v>-837857.11</v>
      </c>
      <c r="BE18" s="18">
        <f t="shared" si="79"/>
        <v>0.37414968440709617</v>
      </c>
      <c r="BF18" s="23">
        <v>1338750</v>
      </c>
      <c r="BG18" s="16">
        <v>1746407.4972413795</v>
      </c>
      <c r="BH18" s="24">
        <f t="shared" si="16"/>
        <v>407657.49724137946</v>
      </c>
      <c r="BI18" s="47">
        <f t="shared" si="80"/>
        <v>1.3045060670337101</v>
      </c>
      <c r="BJ18" s="130">
        <v>1222429.3899999999</v>
      </c>
      <c r="BK18" s="131">
        <f t="shared" si="68"/>
        <v>-116320.6100000001</v>
      </c>
      <c r="BL18" s="18">
        <f t="shared" si="81"/>
        <v>0.9131125228758169</v>
      </c>
      <c r="BM18" s="23">
        <f t="shared" si="18"/>
        <v>12048750</v>
      </c>
      <c r="BN18" s="23">
        <f t="shared" si="19"/>
        <v>39855447.947241381</v>
      </c>
      <c r="BO18" s="24">
        <f t="shared" si="20"/>
        <v>27806697.947241381</v>
      </c>
      <c r="BP18" s="47">
        <f t="shared" si="43"/>
        <v>3.3078491915959232</v>
      </c>
      <c r="BQ18" s="16">
        <f t="shared" si="21"/>
        <v>18218535.879999999</v>
      </c>
      <c r="BR18" s="25">
        <f t="shared" si="22"/>
        <v>6169785.879999999</v>
      </c>
      <c r="BS18" s="47">
        <f t="shared" si="44"/>
        <v>1.5120685448697997</v>
      </c>
      <c r="BT18" s="16">
        <f t="shared" si="23"/>
        <v>4428383.1052490426</v>
      </c>
      <c r="BU18" s="26">
        <f t="shared" si="24"/>
        <v>2024281.7644444443</v>
      </c>
    </row>
    <row r="19" spans="1:73" x14ac:dyDescent="0.3">
      <c r="A19" s="22" t="s">
        <v>22</v>
      </c>
      <c r="B19" s="23">
        <v>500000</v>
      </c>
      <c r="C19" s="16">
        <v>552980.43000000005</v>
      </c>
      <c r="D19" s="24">
        <f t="shared" si="0"/>
        <v>52980.430000000051</v>
      </c>
      <c r="E19" s="47">
        <f t="shared" si="45"/>
        <v>1.1059608600000002</v>
      </c>
      <c r="F19" s="29">
        <v>551981.43000000005</v>
      </c>
      <c r="G19" s="25">
        <f t="shared" si="1"/>
        <v>51981.430000000051</v>
      </c>
      <c r="H19" s="47">
        <f t="shared" si="26"/>
        <v>1.1039628600000002</v>
      </c>
      <c r="I19" s="23">
        <v>550000</v>
      </c>
      <c r="J19" s="16">
        <v>1283683.3700000001</v>
      </c>
      <c r="K19" s="24">
        <f t="shared" si="2"/>
        <v>733683.37000000011</v>
      </c>
      <c r="L19" s="47">
        <f t="shared" si="46"/>
        <v>2.3339697636363637</v>
      </c>
      <c r="M19" s="29">
        <v>1508451.15</v>
      </c>
      <c r="N19" s="25">
        <f t="shared" si="47"/>
        <v>958451.14999999991</v>
      </c>
      <c r="O19" s="47">
        <f t="shared" si="48"/>
        <v>2.7426384545454545</v>
      </c>
      <c r="P19" s="23">
        <v>600000</v>
      </c>
      <c r="Q19" s="16">
        <v>884030.54</v>
      </c>
      <c r="R19" s="24">
        <f t="shared" si="4"/>
        <v>284030.54000000004</v>
      </c>
      <c r="S19" s="47">
        <f t="shared" si="49"/>
        <v>1.4733842333333333</v>
      </c>
      <c r="T19" s="29">
        <v>345604.95</v>
      </c>
      <c r="U19" s="25">
        <f t="shared" si="50"/>
        <v>-254395.05</v>
      </c>
      <c r="V19" s="18">
        <f t="shared" si="51"/>
        <v>0.57600825</v>
      </c>
      <c r="W19" s="23">
        <v>650000</v>
      </c>
      <c r="X19" s="16">
        <v>620234.69999999995</v>
      </c>
      <c r="Y19" s="24">
        <f t="shared" si="6"/>
        <v>-29765.300000000047</v>
      </c>
      <c r="Z19" s="18">
        <f t="shared" si="70"/>
        <v>0.95420723076923075</v>
      </c>
      <c r="AA19" s="29">
        <v>799583.03</v>
      </c>
      <c r="AB19" s="25">
        <f t="shared" si="53"/>
        <v>149583.03000000003</v>
      </c>
      <c r="AC19" s="47">
        <f t="shared" si="71"/>
        <v>1.2301277384615386</v>
      </c>
      <c r="AD19" s="23">
        <v>700000</v>
      </c>
      <c r="AE19" s="16">
        <v>805853.51</v>
      </c>
      <c r="AF19" s="24">
        <f t="shared" si="8"/>
        <v>105853.51000000001</v>
      </c>
      <c r="AG19" s="47">
        <f t="shared" si="72"/>
        <v>1.1512192999999999</v>
      </c>
      <c r="AH19" s="29">
        <v>600557.80000000005</v>
      </c>
      <c r="AI19" s="25">
        <f t="shared" si="56"/>
        <v>-99442.199999999953</v>
      </c>
      <c r="AJ19" s="18">
        <f t="shared" si="73"/>
        <v>0.85793971428571436</v>
      </c>
      <c r="AK19" s="23">
        <v>750000</v>
      </c>
      <c r="AL19" s="16">
        <v>577431.47</v>
      </c>
      <c r="AM19" s="24">
        <f t="shared" si="10"/>
        <v>-172568.53000000003</v>
      </c>
      <c r="AN19" s="126">
        <f t="shared" si="74"/>
        <v>0.7699086266666666</v>
      </c>
      <c r="AO19" s="130">
        <v>562600.11</v>
      </c>
      <c r="AP19" s="131">
        <f t="shared" si="59"/>
        <v>-187399.89</v>
      </c>
      <c r="AQ19" s="126">
        <f t="shared" si="75"/>
        <v>0.75013348000000002</v>
      </c>
      <c r="AR19" s="23">
        <v>800000</v>
      </c>
      <c r="AS19" s="16">
        <v>920347.23</v>
      </c>
      <c r="AT19" s="24">
        <f t="shared" si="12"/>
        <v>120347.22999999998</v>
      </c>
      <c r="AU19" s="47">
        <f t="shared" si="76"/>
        <v>1.1504340375</v>
      </c>
      <c r="AV19" s="130">
        <v>1659845.55</v>
      </c>
      <c r="AW19" s="131">
        <f t="shared" si="62"/>
        <v>859845.55</v>
      </c>
      <c r="AX19" s="47">
        <f t="shared" si="77"/>
        <v>2.0748069375</v>
      </c>
      <c r="AY19" s="23">
        <v>850000</v>
      </c>
      <c r="AZ19" s="16">
        <v>1327398</v>
      </c>
      <c r="BA19" s="24">
        <f t="shared" si="14"/>
        <v>477398</v>
      </c>
      <c r="BB19" s="47">
        <f t="shared" si="78"/>
        <v>1.561644705882353</v>
      </c>
      <c r="BC19" s="130">
        <v>990380.81</v>
      </c>
      <c r="BD19" s="131">
        <f t="shared" si="65"/>
        <v>140380.81000000006</v>
      </c>
      <c r="BE19" s="47">
        <f t="shared" si="79"/>
        <v>1.1651538941176471</v>
      </c>
      <c r="BF19" s="23">
        <v>876750</v>
      </c>
      <c r="BG19" s="16">
        <v>455775.46551724145</v>
      </c>
      <c r="BH19" s="24">
        <f t="shared" si="16"/>
        <v>-420974.53448275855</v>
      </c>
      <c r="BI19" s="18">
        <f t="shared" si="80"/>
        <v>0.51984655319902073</v>
      </c>
      <c r="BJ19" s="130">
        <v>293634.09999999998</v>
      </c>
      <c r="BK19" s="131">
        <f t="shared" si="68"/>
        <v>-583115.9</v>
      </c>
      <c r="BL19" s="18">
        <f t="shared" si="81"/>
        <v>0.33491200456230391</v>
      </c>
      <c r="BM19" s="23">
        <f t="shared" si="18"/>
        <v>6276750</v>
      </c>
      <c r="BN19" s="23">
        <f t="shared" si="19"/>
        <v>7427734.7155172415</v>
      </c>
      <c r="BO19" s="24">
        <f t="shared" si="20"/>
        <v>1150984.7155172415</v>
      </c>
      <c r="BP19" s="47">
        <f t="shared" si="43"/>
        <v>1.1833727192443926</v>
      </c>
      <c r="BQ19" s="16">
        <f t="shared" si="21"/>
        <v>7312638.9299999997</v>
      </c>
      <c r="BR19" s="25">
        <f t="shared" si="22"/>
        <v>1035888.9299999997</v>
      </c>
      <c r="BS19" s="47">
        <f t="shared" si="44"/>
        <v>1.1650358752539132</v>
      </c>
      <c r="BT19" s="16">
        <f t="shared" si="23"/>
        <v>825303.85727969347</v>
      </c>
      <c r="BU19" s="26">
        <f t="shared" si="24"/>
        <v>812515.43666666665</v>
      </c>
    </row>
    <row r="20" spans="1:73" x14ac:dyDescent="0.3">
      <c r="A20" s="22" t="s">
        <v>26</v>
      </c>
      <c r="B20" s="23"/>
      <c r="C20" s="16">
        <v>60669.83</v>
      </c>
      <c r="D20" s="24">
        <f>+C20-B20</f>
        <v>60669.83</v>
      </c>
      <c r="E20" s="18"/>
      <c r="F20" s="28">
        <v>74635.009999999995</v>
      </c>
      <c r="G20" s="25">
        <f>+F20-B20</f>
        <v>74635.009999999995</v>
      </c>
      <c r="H20" s="18"/>
      <c r="I20" s="23"/>
      <c r="J20" s="16">
        <f>327.32+8787.51</f>
        <v>9114.83</v>
      </c>
      <c r="K20" s="24">
        <f>+J20-I20</f>
        <v>9114.83</v>
      </c>
      <c r="L20" s="18"/>
      <c r="M20" s="28">
        <v>5256.55</v>
      </c>
      <c r="N20" s="25">
        <f>+M20-I20</f>
        <v>5256.55</v>
      </c>
      <c r="O20" s="18"/>
      <c r="P20" s="23"/>
      <c r="Q20" s="16">
        <v>33104.07</v>
      </c>
      <c r="R20" s="24">
        <f>+Q20-P20</f>
        <v>33104.07</v>
      </c>
      <c r="S20" s="18"/>
      <c r="T20" s="28">
        <v>23024.37</v>
      </c>
      <c r="U20" s="25">
        <f>+T20-P20</f>
        <v>23024.37</v>
      </c>
      <c r="V20" s="18"/>
      <c r="W20" s="23"/>
      <c r="X20" s="16">
        <v>10029.39</v>
      </c>
      <c r="Y20" s="24">
        <f>+X20-W20</f>
        <v>10029.39</v>
      </c>
      <c r="Z20" s="18"/>
      <c r="AA20" s="28">
        <v>9296.48</v>
      </c>
      <c r="AB20" s="25">
        <f>+AA20-W20</f>
        <v>9296.48</v>
      </c>
      <c r="AC20" s="18"/>
      <c r="AD20" s="23"/>
      <c r="AE20" s="16">
        <v>19130.11</v>
      </c>
      <c r="AF20" s="24">
        <f>+AE20-AD20</f>
        <v>19130.11</v>
      </c>
      <c r="AG20" s="18"/>
      <c r="AH20" s="28">
        <v>19324.61</v>
      </c>
      <c r="AI20" s="25">
        <f>+AH20-AD20</f>
        <v>19324.61</v>
      </c>
      <c r="AJ20" s="18"/>
      <c r="AK20" s="23"/>
      <c r="AL20" s="16">
        <v>12918.1</v>
      </c>
      <c r="AM20" s="24">
        <f>+AL20-AK20</f>
        <v>12918.1</v>
      </c>
      <c r="AN20" s="126"/>
      <c r="AO20" s="132">
        <v>12883.06</v>
      </c>
      <c r="AP20" s="131">
        <f>+AO20-AK20</f>
        <v>12883.06</v>
      </c>
      <c r="AQ20" s="126"/>
      <c r="AR20" s="23"/>
      <c r="AS20" s="16">
        <v>12592.89</v>
      </c>
      <c r="AT20" s="24">
        <f>+AS20-AR20</f>
        <v>12592.89</v>
      </c>
      <c r="AU20" s="18"/>
      <c r="AV20" s="132">
        <v>11201.94</v>
      </c>
      <c r="AW20" s="131">
        <f>+AV20-AR20</f>
        <v>11201.94</v>
      </c>
      <c r="AX20" s="18"/>
      <c r="AY20" s="23"/>
      <c r="AZ20" s="16">
        <v>13382.1</v>
      </c>
      <c r="BA20" s="24">
        <f>+AZ20-AY20</f>
        <v>13382.1</v>
      </c>
      <c r="BB20" s="18"/>
      <c r="BC20" s="132">
        <v>12786.05</v>
      </c>
      <c r="BD20" s="131">
        <f>+BC20-AY20</f>
        <v>12786.05</v>
      </c>
      <c r="BE20" s="18"/>
      <c r="BF20" s="23"/>
      <c r="BG20" s="16">
        <v>10995.97</v>
      </c>
      <c r="BH20" s="24">
        <f>+BG20-BF20</f>
        <v>10995.97</v>
      </c>
      <c r="BI20" s="18"/>
      <c r="BJ20" s="107">
        <v>10367.94</v>
      </c>
      <c r="BK20" s="131">
        <f>+BJ20-BF20</f>
        <v>10367.94</v>
      </c>
      <c r="BL20" s="18"/>
      <c r="BM20" s="23">
        <f t="shared" si="18"/>
        <v>0</v>
      </c>
      <c r="BN20" s="23">
        <f t="shared" si="19"/>
        <v>181937.29000000004</v>
      </c>
      <c r="BO20" s="24">
        <f t="shared" si="20"/>
        <v>181937.29000000004</v>
      </c>
      <c r="BP20" s="18"/>
      <c r="BQ20" s="16">
        <f t="shared" si="21"/>
        <v>178776.00999999998</v>
      </c>
      <c r="BR20" s="25">
        <f t="shared" si="22"/>
        <v>178776.00999999998</v>
      </c>
      <c r="BS20" s="18"/>
      <c r="BT20" s="16">
        <f t="shared" si="23"/>
        <v>20215.25444444445</v>
      </c>
      <c r="BU20" s="26">
        <f t="shared" si="24"/>
        <v>19864.001111111109</v>
      </c>
    </row>
    <row r="21" spans="1:73" ht="15" thickBot="1" x14ac:dyDescent="0.35">
      <c r="A21" s="22"/>
      <c r="B21" s="23"/>
      <c r="C21" s="16"/>
      <c r="D21" s="24"/>
      <c r="E21" s="30"/>
      <c r="F21" s="29"/>
      <c r="G21" s="25"/>
      <c r="H21" s="18"/>
      <c r="I21" s="23"/>
      <c r="J21" s="16"/>
      <c r="K21" s="24"/>
      <c r="L21" s="30"/>
      <c r="M21" s="29"/>
      <c r="N21" s="25"/>
      <c r="O21" s="18"/>
      <c r="P21" s="23"/>
      <c r="Q21" s="16"/>
      <c r="R21" s="24"/>
      <c r="S21" s="30"/>
      <c r="T21" s="29"/>
      <c r="U21" s="25"/>
      <c r="V21" s="18"/>
      <c r="W21" s="23"/>
      <c r="X21" s="16"/>
      <c r="Y21" s="24"/>
      <c r="Z21" s="30"/>
      <c r="AA21" s="29"/>
      <c r="AB21" s="25"/>
      <c r="AC21" s="18"/>
      <c r="AD21" s="23"/>
      <c r="AE21" s="16"/>
      <c r="AF21" s="24"/>
      <c r="AG21" s="30"/>
      <c r="AH21" s="29"/>
      <c r="AI21" s="25"/>
      <c r="AJ21" s="18"/>
      <c r="AK21" s="23"/>
      <c r="AL21" s="16"/>
      <c r="AM21" s="24"/>
      <c r="AN21" s="133"/>
      <c r="AO21" s="130"/>
      <c r="AP21" s="131"/>
      <c r="AQ21" s="126"/>
      <c r="AR21" s="23"/>
      <c r="AS21" s="16"/>
      <c r="AT21" s="24"/>
      <c r="AU21" s="30"/>
      <c r="AV21" s="130"/>
      <c r="AW21" s="131"/>
      <c r="AX21" s="18"/>
      <c r="AY21" s="23"/>
      <c r="AZ21" s="16"/>
      <c r="BA21" s="24"/>
      <c r="BB21" s="30"/>
      <c r="BC21" s="130"/>
      <c r="BD21" s="131"/>
      <c r="BE21" s="18"/>
      <c r="BF21" s="23"/>
      <c r="BG21" s="16"/>
      <c r="BH21" s="24"/>
      <c r="BI21" s="30"/>
      <c r="BJ21" s="130"/>
      <c r="BK21" s="131"/>
      <c r="BL21" s="18"/>
      <c r="BM21" s="78"/>
      <c r="BN21" s="78"/>
      <c r="BO21" s="79"/>
      <c r="BP21" s="161"/>
      <c r="BQ21" s="78"/>
      <c r="BR21" s="81"/>
      <c r="BS21" s="37"/>
      <c r="BT21" s="83"/>
      <c r="BU21" s="82"/>
    </row>
    <row r="22" spans="1:73" ht="15" thickBot="1" x14ac:dyDescent="0.35">
      <c r="A22" s="31" t="s">
        <v>23</v>
      </c>
      <c r="B22" s="32">
        <f>SUM(B4:B21)</f>
        <v>12098000</v>
      </c>
      <c r="C22" s="32">
        <f>SUM(C4:C21)</f>
        <v>9551724.5199999996</v>
      </c>
      <c r="D22" s="32">
        <f>SUM(D4:D21)</f>
        <v>-2546275.48</v>
      </c>
      <c r="E22" s="33">
        <f>+C22/B22</f>
        <v>0.78952922135890224</v>
      </c>
      <c r="F22" s="32">
        <f>SUM(F4:F21)</f>
        <v>5981425.2799999984</v>
      </c>
      <c r="G22" s="32">
        <f>SUM(G4:G21)</f>
        <v>-6116574.7199999997</v>
      </c>
      <c r="H22" s="33">
        <f>+F22/B22</f>
        <v>0.49441438915523211</v>
      </c>
      <c r="I22" s="32">
        <f>SUM(I4:I21)</f>
        <v>12348000</v>
      </c>
      <c r="J22" s="32">
        <f>SUM(J4:J21)</f>
        <v>22744224.27</v>
      </c>
      <c r="K22" s="32">
        <f>SUM(K4:K21)</f>
        <v>10396224.270000001</v>
      </c>
      <c r="L22" s="91">
        <f>+J22/I22</f>
        <v>1.8419358819241982</v>
      </c>
      <c r="M22" s="32">
        <f>SUM(M4:M21)</f>
        <v>10257478.640000001</v>
      </c>
      <c r="N22" s="32">
        <f>SUM(N4:N21)</f>
        <v>-2090521.3599999996</v>
      </c>
      <c r="O22" s="90">
        <f>+M22/I22</f>
        <v>0.83069959831551676</v>
      </c>
      <c r="P22" s="32">
        <f>SUM(P4:P21)</f>
        <v>12098000</v>
      </c>
      <c r="Q22" s="32">
        <f>SUM(Q4:Q21)</f>
        <v>11511387.870000001</v>
      </c>
      <c r="R22" s="32">
        <f>SUM(R4:R21)</f>
        <v>-586612.12999999931</v>
      </c>
      <c r="S22" s="33">
        <f>+Q22/P22</f>
        <v>0.95151164407340061</v>
      </c>
      <c r="T22" s="32">
        <f>SUM(T4:T21)</f>
        <v>6915087.1899999995</v>
      </c>
      <c r="U22" s="32">
        <f>SUM(U4:U21)</f>
        <v>-5182912.8100000005</v>
      </c>
      <c r="V22" s="90">
        <f>+T22/P22</f>
        <v>0.57158928665895181</v>
      </c>
      <c r="W22" s="32">
        <f>SUM(W4:W21)</f>
        <v>12298000</v>
      </c>
      <c r="X22" s="32">
        <f>SUM(X4:X21)</f>
        <v>8576678.75</v>
      </c>
      <c r="Y22" s="32">
        <f>SUM(Y4:Y21)</f>
        <v>-3721321.2500000005</v>
      </c>
      <c r="Z22" s="33">
        <f>+X22/W22</f>
        <v>0.69740435436656367</v>
      </c>
      <c r="AA22" s="32">
        <f>SUM(AA4:AA21)</f>
        <v>10142133.060000001</v>
      </c>
      <c r="AB22" s="32">
        <f>SUM(AB4:AB21)</f>
        <v>-2155866.9400000009</v>
      </c>
      <c r="AC22" s="90">
        <f>+AA22/W22</f>
        <v>0.82469776061148159</v>
      </c>
      <c r="AD22" s="32">
        <f>SUM(AD4:AD21)</f>
        <v>12498000</v>
      </c>
      <c r="AE22" s="32">
        <f>SUM(AE4:AE21)</f>
        <v>6257997.7400000002</v>
      </c>
      <c r="AF22" s="32">
        <f>SUM(AF4:AF21)</f>
        <v>-6240002.2599999988</v>
      </c>
      <c r="AG22" s="33">
        <f>+AE22/AD22</f>
        <v>0.50071993438950235</v>
      </c>
      <c r="AH22" s="32">
        <f>SUM(AH4:AH21)</f>
        <v>10391819.289999999</v>
      </c>
      <c r="AI22" s="32">
        <f>SUM(AI4:AI21)</f>
        <v>-2106180.7100000004</v>
      </c>
      <c r="AJ22" s="90">
        <f>+AH22/AD22</f>
        <v>0.83147857977276352</v>
      </c>
      <c r="AK22" s="32">
        <f>SUM(AK4:AK21)</f>
        <v>12798000</v>
      </c>
      <c r="AL22" s="32">
        <f>SUM(AL4:AL21)</f>
        <v>12599131.73</v>
      </c>
      <c r="AM22" s="32">
        <f>SUM(AM4:AM21)</f>
        <v>-198868.26999999894</v>
      </c>
      <c r="AN22" s="134">
        <f>+AL22/AK22</f>
        <v>0.98446098843569307</v>
      </c>
      <c r="AO22" s="135">
        <f>SUM(AO4:AO21)</f>
        <v>8082026.2799999993</v>
      </c>
      <c r="AP22" s="135">
        <f>SUM(AP4:AP21)</f>
        <v>-4715973.7199999988</v>
      </c>
      <c r="AQ22" s="136">
        <f>+AO22/AK22</f>
        <v>0.63150697609001405</v>
      </c>
      <c r="AR22" s="32">
        <f>SUM(AR4:AR21)</f>
        <v>13048000</v>
      </c>
      <c r="AS22" s="32">
        <f>SUM(AS4:AS21)</f>
        <v>10582459.110000001</v>
      </c>
      <c r="AT22" s="32">
        <f>SUM(AT4:AT21)</f>
        <v>-2465540.8899999997</v>
      </c>
      <c r="AU22" s="33">
        <f>+AS22/AR22</f>
        <v>0.81104070432250164</v>
      </c>
      <c r="AV22" s="135">
        <f>SUM(AV4:AV21)</f>
        <v>7688887.2799999993</v>
      </c>
      <c r="AW22" s="135">
        <f>SUM(AW4:AW21)</f>
        <v>-5359112.7200000007</v>
      </c>
      <c r="AX22" s="90">
        <f>+AV22/AR22</f>
        <v>0.58927707541385643</v>
      </c>
      <c r="AY22" s="32">
        <f>SUM(AY4:AY21)</f>
        <v>13298000</v>
      </c>
      <c r="AZ22" s="32">
        <f>SUM(AZ4:AZ21)</f>
        <v>11372872.17</v>
      </c>
      <c r="BA22" s="32">
        <f>SUM(BA4:BA21)</f>
        <v>-1925127.8299999996</v>
      </c>
      <c r="BB22" s="33">
        <f>+AZ22/AY22</f>
        <v>0.85523177695894115</v>
      </c>
      <c r="BC22" s="135">
        <f>SUM(BC4:BC21)</f>
        <v>7495770.4699999979</v>
      </c>
      <c r="BD22" s="135">
        <f>SUM(BD4:BD21)</f>
        <v>-5802229.5300000021</v>
      </c>
      <c r="BE22" s="90">
        <f>+BC22/AY22</f>
        <v>0.56367652804933055</v>
      </c>
      <c r="BF22" s="32">
        <f>SUM(BF4:BF21)</f>
        <v>13501500</v>
      </c>
      <c r="BG22" s="32">
        <f>SUM(BG4:BG21)</f>
        <v>6928050.7917241389</v>
      </c>
      <c r="BH22" s="32">
        <f>SUM(BH4:BH21)</f>
        <v>-6573449.208275862</v>
      </c>
      <c r="BI22" s="33">
        <f>+BG22/BF22</f>
        <v>0.51313193287591297</v>
      </c>
      <c r="BJ22" s="135">
        <f>SUM(BJ4:BJ21)</f>
        <v>5772016.9000000004</v>
      </c>
      <c r="BK22" s="135">
        <f>SUM(BK4:BK21)</f>
        <v>-7729483.0999999996</v>
      </c>
      <c r="BL22" s="90">
        <f>+BJ22/BF22</f>
        <v>0.42750930637336593</v>
      </c>
      <c r="BM22" s="89">
        <f>SUM(BM4:BM20)</f>
        <v>113985500</v>
      </c>
      <c r="BN22" s="32">
        <f>SUM(BN4:BN20)</f>
        <v>100124526.95172414</v>
      </c>
      <c r="BO22" s="84">
        <f>+BN22-BM22</f>
        <v>-13860973.048275858</v>
      </c>
      <c r="BP22" s="85">
        <f>+BN22/BM22</f>
        <v>0.87839705007851121</v>
      </c>
      <c r="BQ22" s="86">
        <f>SUM(BQ4:BQ20)</f>
        <v>72726644.390000001</v>
      </c>
      <c r="BR22" s="87">
        <f>+BQ22-BM22</f>
        <v>-41258855.609999999</v>
      </c>
      <c r="BS22" s="85">
        <f>+BQ22/BM22</f>
        <v>0.63803417443446753</v>
      </c>
      <c r="BT22" s="86">
        <f>+BN22/9</f>
        <v>11124947.43908046</v>
      </c>
      <c r="BU22" s="88">
        <f>+BQ22/9</f>
        <v>8080738.2655555559</v>
      </c>
    </row>
    <row r="23" spans="1:73" x14ac:dyDescent="0.3">
      <c r="A23" s="22"/>
      <c r="B23" s="23"/>
      <c r="C23" s="16"/>
      <c r="D23" s="34"/>
      <c r="E23" s="18"/>
      <c r="F23" s="29"/>
      <c r="G23" s="35"/>
      <c r="H23" s="18"/>
      <c r="I23" s="23"/>
      <c r="J23" s="16"/>
      <c r="K23" s="34"/>
      <c r="L23" s="18"/>
      <c r="M23" s="29"/>
      <c r="N23" s="35"/>
      <c r="O23" s="18"/>
      <c r="P23" s="23"/>
      <c r="Q23" s="16"/>
      <c r="R23" s="34"/>
      <c r="S23" s="18"/>
      <c r="T23" s="29"/>
      <c r="U23" s="35"/>
      <c r="V23" s="18"/>
      <c r="W23" s="23"/>
      <c r="X23" s="16"/>
      <c r="Y23" s="34"/>
      <c r="Z23" s="18"/>
      <c r="AA23" s="29"/>
      <c r="AB23" s="35"/>
      <c r="AC23" s="18"/>
      <c r="AD23" s="23"/>
      <c r="AE23" s="16"/>
      <c r="AF23" s="34"/>
      <c r="AG23" s="18"/>
      <c r="AH23" s="29"/>
      <c r="AI23" s="35"/>
      <c r="AJ23" s="18"/>
      <c r="AK23" s="23"/>
      <c r="AL23" s="16"/>
      <c r="AM23" s="34"/>
      <c r="AN23" s="126"/>
      <c r="AO23" s="130"/>
      <c r="AP23" s="137"/>
      <c r="AQ23" s="126"/>
      <c r="AR23" s="23"/>
      <c r="AS23" s="16"/>
      <c r="AT23" s="34"/>
      <c r="AU23" s="18"/>
      <c r="AV23" s="130"/>
      <c r="AW23" s="137"/>
      <c r="AX23" s="18"/>
      <c r="AY23" s="23"/>
      <c r="AZ23" s="16"/>
      <c r="BA23" s="34"/>
      <c r="BB23" s="18"/>
      <c r="BC23" s="130"/>
      <c r="BD23" s="137"/>
      <c r="BE23" s="18"/>
      <c r="BF23" s="23"/>
      <c r="BG23" s="16"/>
      <c r="BH23" s="34"/>
      <c r="BI23" s="18"/>
      <c r="BJ23" s="130"/>
      <c r="BK23" s="137"/>
      <c r="BL23" s="18"/>
      <c r="BM23" s="23"/>
      <c r="BN23" s="16"/>
      <c r="BO23" s="34"/>
      <c r="BP23" s="18"/>
      <c r="BQ23" s="29"/>
      <c r="BR23" s="35"/>
      <c r="BS23" s="18"/>
      <c r="BT23" s="16"/>
      <c r="BU23" s="26"/>
    </row>
    <row r="24" spans="1:73" x14ac:dyDescent="0.3">
      <c r="A24" s="22" t="s">
        <v>25</v>
      </c>
      <c r="B24" s="26"/>
      <c r="C24" s="16">
        <v>5189998</v>
      </c>
      <c r="E24" s="18"/>
      <c r="F24" s="29">
        <v>6473867</v>
      </c>
      <c r="H24" s="37"/>
      <c r="I24" s="26"/>
      <c r="J24" s="16">
        <v>6480867</v>
      </c>
      <c r="L24" s="18"/>
      <c r="M24" s="29">
        <v>4656309</v>
      </c>
      <c r="O24" s="37"/>
      <c r="P24" s="26"/>
      <c r="Q24" s="16">
        <v>5002093</v>
      </c>
      <c r="S24" s="18"/>
      <c r="T24" s="29">
        <v>4948390</v>
      </c>
      <c r="V24" s="37"/>
      <c r="W24" s="26"/>
      <c r="X24" s="16">
        <v>5759007</v>
      </c>
      <c r="Z24" s="18"/>
      <c r="AA24" s="29">
        <v>5350403</v>
      </c>
      <c r="AC24" s="37"/>
      <c r="AD24" s="26"/>
      <c r="AE24" s="16">
        <v>35091548</v>
      </c>
      <c r="AG24" s="18"/>
      <c r="AH24" s="29">
        <v>46426011</v>
      </c>
      <c r="AJ24" s="37"/>
      <c r="AK24" s="26"/>
      <c r="AL24" s="16">
        <v>7015929</v>
      </c>
      <c r="AN24" s="126"/>
      <c r="AO24" s="130">
        <v>7038899</v>
      </c>
      <c r="AQ24" s="139"/>
      <c r="AR24" s="26"/>
      <c r="AS24" s="16">
        <v>8765255</v>
      </c>
      <c r="AU24" s="18"/>
      <c r="AV24" s="130">
        <v>7021649</v>
      </c>
      <c r="AX24" s="37"/>
      <c r="AY24" s="26"/>
      <c r="AZ24" s="16">
        <v>7086943</v>
      </c>
      <c r="BB24" s="18"/>
      <c r="BC24" s="130">
        <v>8150098</v>
      </c>
      <c r="BE24" s="37"/>
      <c r="BF24" s="26"/>
      <c r="BG24" s="16">
        <v>9311498</v>
      </c>
      <c r="BI24" s="18"/>
      <c r="BJ24" s="130">
        <v>13016953</v>
      </c>
      <c r="BL24" s="37"/>
      <c r="BM24" s="26"/>
      <c r="BN24" s="16">
        <f>+C24+J24+Q24+X24+AE24+AL24+AS24+AZ24+BG24</f>
        <v>89703138</v>
      </c>
      <c r="BP24" s="18"/>
      <c r="BQ24" s="16">
        <f>+F24+M24+T24+AA24+AH24+AO24+AV24+BC24+BJ24</f>
        <v>103082579</v>
      </c>
      <c r="BR24" s="36"/>
      <c r="BS24" s="37"/>
      <c r="BT24" s="16">
        <f t="shared" ref="BT24" si="82">+BN24/9</f>
        <v>9967015.333333334</v>
      </c>
      <c r="BU24" s="26">
        <f t="shared" ref="BU24" si="83">+BQ24/9</f>
        <v>11453619.888888888</v>
      </c>
    </row>
    <row r="25" spans="1:73" x14ac:dyDescent="0.3">
      <c r="A25" s="38"/>
      <c r="B25" s="26"/>
      <c r="C25" s="16"/>
      <c r="E25" s="18"/>
      <c r="F25" s="29"/>
      <c r="H25" s="37"/>
      <c r="I25" s="26"/>
      <c r="J25" s="16"/>
      <c r="L25" s="18"/>
      <c r="M25" s="29"/>
      <c r="O25" s="37"/>
      <c r="P25" s="26"/>
      <c r="Q25" s="16"/>
      <c r="S25" s="18"/>
      <c r="T25" s="29"/>
      <c r="V25" s="37"/>
      <c r="W25" s="26"/>
      <c r="X25" s="16"/>
      <c r="Z25" s="18"/>
      <c r="AA25" s="29"/>
      <c r="AC25" s="37"/>
      <c r="AD25" s="26"/>
      <c r="AE25" s="16"/>
      <c r="AG25" s="18"/>
      <c r="AH25" s="29"/>
      <c r="AJ25" s="37"/>
      <c r="AK25" s="26"/>
      <c r="AL25" s="16"/>
      <c r="AN25" s="126"/>
      <c r="AO25" s="130"/>
      <c r="AQ25" s="139"/>
      <c r="AR25" s="26"/>
      <c r="AS25" s="16"/>
      <c r="AU25" s="18"/>
      <c r="AV25" s="130"/>
      <c r="AX25" s="37"/>
      <c r="AY25" s="26"/>
      <c r="AZ25" s="16"/>
      <c r="BB25" s="18"/>
      <c r="BC25" s="130"/>
      <c r="BE25" s="37"/>
      <c r="BF25" s="26"/>
      <c r="BG25" s="16"/>
      <c r="BI25" s="18"/>
      <c r="BJ25" s="130"/>
      <c r="BL25" s="37"/>
      <c r="BM25" s="26"/>
      <c r="BN25" s="16"/>
      <c r="BP25" s="18"/>
      <c r="BQ25" s="29"/>
      <c r="BR25" s="36"/>
      <c r="BS25" s="37"/>
      <c r="BT25" s="16"/>
      <c r="BU25" s="26"/>
    </row>
    <row r="26" spans="1:73" ht="15" thickBot="1" x14ac:dyDescent="0.35">
      <c r="A26" s="39" t="s">
        <v>24</v>
      </c>
      <c r="B26" s="40"/>
      <c r="C26" s="41">
        <f>+C22-C24</f>
        <v>4361726.5199999996</v>
      </c>
      <c r="D26" s="42"/>
      <c r="E26" s="43">
        <f>+(C22/C24)-1</f>
        <v>0.8404100579614866</v>
      </c>
      <c r="F26" s="41">
        <f>+F22-F24</f>
        <v>-492441.7200000016</v>
      </c>
      <c r="G26" s="42"/>
      <c r="H26" s="43">
        <f>+(F22/F24)-1</f>
        <v>-7.6066085386060855E-2</v>
      </c>
      <c r="I26" s="40"/>
      <c r="J26" s="41">
        <f>+J22-J24</f>
        <v>16263357.27</v>
      </c>
      <c r="K26" s="42"/>
      <c r="L26" s="43">
        <f>+(J22/J24)-1</f>
        <v>2.5094416024892965</v>
      </c>
      <c r="M26" s="41">
        <f>+M22-M24</f>
        <v>5601169.6400000006</v>
      </c>
      <c r="N26" s="42"/>
      <c r="O26" s="43">
        <f>+(M22/M24)-1</f>
        <v>1.2029205192352999</v>
      </c>
      <c r="P26" s="40"/>
      <c r="Q26" s="41">
        <f>+Q22-Q24</f>
        <v>6509294.870000001</v>
      </c>
      <c r="R26" s="42"/>
      <c r="S26" s="43">
        <f>+(Q22/Q24)-1</f>
        <v>1.3013142438575214</v>
      </c>
      <c r="T26" s="41">
        <f>+T22-T24</f>
        <v>1966697.1899999995</v>
      </c>
      <c r="U26" s="42"/>
      <c r="V26" s="43">
        <f>+(T22/T24)-1</f>
        <v>0.39744183259605648</v>
      </c>
      <c r="W26" s="40"/>
      <c r="X26" s="41">
        <f>+X22-X24</f>
        <v>2817671.75</v>
      </c>
      <c r="Y26" s="42"/>
      <c r="Z26" s="43">
        <f>+(X22/X24)-1</f>
        <v>0.48926347024756178</v>
      </c>
      <c r="AA26" s="41">
        <f>+AA22-AA24</f>
        <v>4791730.0600000005</v>
      </c>
      <c r="AB26" s="42"/>
      <c r="AC26" s="104">
        <f>+(AA22/AA24)-1</f>
        <v>0.89558301683069486</v>
      </c>
      <c r="AD26" s="40"/>
      <c r="AE26" s="41">
        <f>+AE22-AE24</f>
        <v>-28833550.259999998</v>
      </c>
      <c r="AF26" s="42"/>
      <c r="AG26" s="43">
        <f>+(AE22/AE24)-1</f>
        <v>-0.8216665238022558</v>
      </c>
      <c r="AH26" s="41">
        <f>+AH22-AH24</f>
        <v>-36034191.710000001</v>
      </c>
      <c r="AI26" s="42"/>
      <c r="AJ26" s="43">
        <f>+(AH22/AH24)-1</f>
        <v>-0.77616385586088799</v>
      </c>
      <c r="AK26" s="40"/>
      <c r="AL26" s="41">
        <f>+AL22-AL24</f>
        <v>5583202.7300000004</v>
      </c>
      <c r="AM26" s="42"/>
      <c r="AN26" s="140">
        <f>+(AL22/AL24)-1</f>
        <v>0.79578951411851517</v>
      </c>
      <c r="AO26" s="141">
        <f>+AO22-AO24</f>
        <v>1043127.2799999993</v>
      </c>
      <c r="AP26" s="142"/>
      <c r="AQ26" s="140">
        <f>+(AO22/AO24)-1</f>
        <v>0.14819466510316448</v>
      </c>
      <c r="AR26" s="40"/>
      <c r="AS26" s="41">
        <f>+AS22-AS24</f>
        <v>1817204.1100000013</v>
      </c>
      <c r="AT26" s="42"/>
      <c r="AU26" s="43">
        <f>+(AS22/AS24)-1</f>
        <v>0.20731902380478395</v>
      </c>
      <c r="AV26" s="141">
        <f>+AV22-AV24</f>
        <v>667238.27999999933</v>
      </c>
      <c r="AW26" s="142"/>
      <c r="AX26" s="43">
        <f>+(AV22/AV24)-1</f>
        <v>9.5025866431090344E-2</v>
      </c>
      <c r="AY26" s="40"/>
      <c r="AZ26" s="41">
        <f>+AZ22-AZ24</f>
        <v>4285929.17</v>
      </c>
      <c r="BA26" s="42"/>
      <c r="BB26" s="43">
        <f>+(AZ22/AZ24)-1</f>
        <v>0.60476416559297852</v>
      </c>
      <c r="BC26" s="141">
        <f>+BC22-BC24</f>
        <v>-654327.53000000212</v>
      </c>
      <c r="BD26" s="142"/>
      <c r="BE26" s="43">
        <f>+(BC22/BC24)-1</f>
        <v>-8.0284621117439614E-2</v>
      </c>
      <c r="BF26" s="40"/>
      <c r="BG26" s="41">
        <f>+BG22-BG24</f>
        <v>-2383447.2082758611</v>
      </c>
      <c r="BH26" s="42"/>
      <c r="BI26" s="43">
        <f>+(BG22/BG24)-1</f>
        <v>-0.25596818130400301</v>
      </c>
      <c r="BJ26" s="141">
        <f>+BJ22-BJ24</f>
        <v>-7244936.0999999996</v>
      </c>
      <c r="BK26" s="142"/>
      <c r="BL26" s="43">
        <f>+(BJ22/BJ24)-1</f>
        <v>-0.55657695775655025</v>
      </c>
      <c r="BM26" s="40"/>
      <c r="BN26" s="41">
        <f>+BN22-BN24</f>
        <v>10421388.951724142</v>
      </c>
      <c r="BO26" s="42"/>
      <c r="BP26" s="43">
        <f>+(BN22/BN24)-1</f>
        <v>0.11617641460574268</v>
      </c>
      <c r="BQ26" s="41">
        <f>+BQ22-BQ24</f>
        <v>-30355934.609999999</v>
      </c>
      <c r="BR26" s="42"/>
      <c r="BS26" s="43">
        <f>+(BQ22/BQ24)-1</f>
        <v>-0.29448171460669414</v>
      </c>
      <c r="BT26" s="75"/>
      <c r="BU26" s="76"/>
    </row>
    <row r="28" spans="1:73" x14ac:dyDescent="0.3">
      <c r="D28" s="44"/>
      <c r="F28" s="46">
        <v>5981425.2800000003</v>
      </c>
      <c r="G28" s="46"/>
      <c r="H28" s="45"/>
      <c r="K28" s="44"/>
      <c r="M28" s="46">
        <v>10257478.65</v>
      </c>
      <c r="N28" s="46"/>
      <c r="O28" s="45"/>
      <c r="R28" s="44"/>
      <c r="T28" s="46">
        <v>6915087.2000000002</v>
      </c>
      <c r="U28" s="46"/>
      <c r="V28" s="45"/>
      <c r="Y28" s="44"/>
      <c r="AA28" s="46">
        <v>10142133.050000001</v>
      </c>
      <c r="AB28" s="46"/>
      <c r="AC28" s="45"/>
      <c r="AF28" s="44"/>
      <c r="AH28" s="46">
        <v>10391819.289999999</v>
      </c>
      <c r="AI28" s="46"/>
      <c r="AJ28" s="45"/>
      <c r="AM28" s="44"/>
      <c r="AO28" s="144">
        <v>8082026.2800000003</v>
      </c>
      <c r="AP28" s="144"/>
      <c r="AQ28" s="143"/>
      <c r="AT28" s="44"/>
      <c r="AV28" s="144">
        <v>7688887.29</v>
      </c>
      <c r="AW28" s="144"/>
      <c r="AX28" s="45"/>
      <c r="BA28" s="44"/>
      <c r="BC28" s="144">
        <v>7495770.4699999997</v>
      </c>
      <c r="BD28" s="144"/>
      <c r="BE28" s="45"/>
      <c r="BG28" s="170"/>
      <c r="BH28" s="44"/>
      <c r="BJ28" s="144">
        <v>5088005.54</v>
      </c>
      <c r="BK28" s="144"/>
      <c r="BL28" s="45"/>
      <c r="BQ28" s="46">
        <v>72042633.049999997</v>
      </c>
    </row>
    <row r="29" spans="1:73" x14ac:dyDescent="0.3">
      <c r="F29" s="46">
        <f>+F22-F28</f>
        <v>0</v>
      </c>
      <c r="M29" s="46">
        <f>+M22-M28</f>
        <v>-9.9999997764825821E-3</v>
      </c>
      <c r="T29" s="46">
        <f>+T22-T28</f>
        <v>-1.0000000707805157E-2</v>
      </c>
      <c r="AA29" s="46">
        <f>+AA22-AA28</f>
        <v>9.9999997764825821E-3</v>
      </c>
      <c r="AH29" s="46">
        <f>+AH22-AH28</f>
        <v>0</v>
      </c>
      <c r="AO29" s="144">
        <f>+AO22-AO28</f>
        <v>0</v>
      </c>
      <c r="AV29" s="144">
        <f>+AV22-AV28</f>
        <v>-1.0000000707805157E-2</v>
      </c>
      <c r="BC29" s="144">
        <f>+BC22-BC28</f>
        <v>0</v>
      </c>
      <c r="BJ29" s="144">
        <f>+BJ22-BJ28</f>
        <v>684011.36000000034</v>
      </c>
      <c r="BN29" s="65"/>
      <c r="BQ29" s="46">
        <f>+BQ22-BQ28</f>
        <v>684011.34000000358</v>
      </c>
    </row>
    <row r="30" spans="1:73" x14ac:dyDescent="0.3">
      <c r="K30" s="44"/>
      <c r="R30" s="44"/>
      <c r="Y30" s="44"/>
      <c r="AF30" s="44"/>
      <c r="AM30" s="44"/>
      <c r="AT30" s="44"/>
      <c r="BA30" s="44"/>
      <c r="BH30" s="44"/>
      <c r="BN30" s="65"/>
    </row>
    <row r="31" spans="1:73" x14ac:dyDescent="0.3">
      <c r="A31" s="22"/>
      <c r="K31" s="44"/>
      <c r="R31" s="44"/>
      <c r="Y31" s="44"/>
      <c r="AE31" s="46"/>
      <c r="AF31" s="44"/>
      <c r="AM31" s="44"/>
      <c r="AT31" s="44"/>
      <c r="BA31" s="44"/>
      <c r="BH31" s="44"/>
    </row>
    <row r="32" spans="1:73" x14ac:dyDescent="0.3">
      <c r="A32" s="27"/>
      <c r="K32" s="44"/>
      <c r="R32" s="44"/>
      <c r="Y32" s="44"/>
      <c r="AF32" s="44"/>
      <c r="AM32" s="44"/>
      <c r="AS32"/>
      <c r="AZ32" s="162"/>
      <c r="BG32" s="162"/>
    </row>
    <row r="33" spans="1:59" x14ac:dyDescent="0.3">
      <c r="A33" s="22"/>
      <c r="AS33"/>
      <c r="AZ33" s="65"/>
      <c r="BG33" s="65"/>
    </row>
    <row r="34" spans="1:59" x14ac:dyDescent="0.3">
      <c r="A34" s="22"/>
    </row>
    <row r="35" spans="1:59" x14ac:dyDescent="0.3">
      <c r="A35" s="22"/>
    </row>
    <row r="36" spans="1:59" x14ac:dyDescent="0.3">
      <c r="A36" s="22"/>
    </row>
    <row r="37" spans="1:59" x14ac:dyDescent="0.3">
      <c r="A37" s="22"/>
    </row>
    <row r="38" spans="1:59" x14ac:dyDescent="0.3">
      <c r="A38" s="22"/>
    </row>
    <row r="39" spans="1:59" x14ac:dyDescent="0.3">
      <c r="A39" s="22"/>
    </row>
    <row r="40" spans="1:59" x14ac:dyDescent="0.3">
      <c r="A40" s="22"/>
    </row>
  </sheetData>
  <pageMargins left="0.7" right="0.7" top="0.75" bottom="0.75" header="0.3" footer="0.3"/>
  <ignoredErrors>
    <ignoredError sqref="BI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7B06-85ED-450C-BBD4-CB47DB39593B}">
  <dimension ref="A1:BN40"/>
  <sheetViews>
    <sheetView workbookViewId="0">
      <pane xSplit="1" ySplit="2" topLeftCell="AY3" activePane="bottomRight" state="frozen"/>
      <selection pane="topRight" activeCell="B1" sqref="B1"/>
      <selection pane="bottomLeft" activeCell="A3" sqref="A3"/>
      <selection pane="bottomRight" activeCell="BA11" sqref="BA11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0" width="11.44140625" style="44" bestFit="1" customWidth="1"/>
    <col min="31" max="31" width="12.88671875" style="44" bestFit="1" customWidth="1"/>
    <col min="32" max="32" width="11.77734375" customWidth="1"/>
    <col min="33" max="33" width="7.77734375" style="45" bestFit="1" customWidth="1"/>
    <col min="34" max="34" width="11.44140625" style="46" bestFit="1" customWidth="1"/>
    <col min="35" max="35" width="11.44140625" style="36" bestFit="1" customWidth="1"/>
    <col min="36" max="36" width="7.77734375" style="36" bestFit="1" customWidth="1"/>
    <col min="37" max="37" width="11.44140625" style="44" bestFit="1" customWidth="1"/>
    <col min="38" max="38" width="12.88671875" style="44" bestFit="1" customWidth="1"/>
    <col min="39" max="39" width="11.77734375" customWidth="1"/>
    <col min="40" max="40" width="7.77734375" style="143" bestFit="1" customWidth="1"/>
    <col min="41" max="41" width="11.44140625" style="144" bestFit="1" customWidth="1"/>
    <col min="42" max="42" width="11.44140625" style="138" bestFit="1" customWidth="1"/>
    <col min="43" max="43" width="7.77734375" style="138" bestFit="1" customWidth="1"/>
    <col min="44" max="44" width="11.44140625" style="44" bestFit="1" customWidth="1"/>
    <col min="45" max="45" width="12.88671875" style="44" bestFit="1" customWidth="1"/>
    <col min="46" max="46" width="11.77734375" customWidth="1"/>
    <col min="47" max="47" width="9.109375" style="45" bestFit="1" customWidth="1"/>
    <col min="48" max="48" width="11.44140625" style="144" bestFit="1" customWidth="1"/>
    <col min="49" max="49" width="11.44140625" style="138" bestFit="1" customWidth="1"/>
    <col min="50" max="50" width="7.77734375" style="36" bestFit="1" customWidth="1"/>
    <col min="51" max="51" width="11.44140625" style="44" bestFit="1" customWidth="1"/>
    <col min="52" max="52" width="12.88671875" style="44" bestFit="1" customWidth="1"/>
    <col min="53" max="53" width="11.77734375" customWidth="1"/>
    <col min="54" max="54" width="9.109375" style="45" bestFit="1" customWidth="1"/>
    <col min="55" max="55" width="11.44140625" style="144" bestFit="1" customWidth="1"/>
    <col min="56" max="56" width="11.44140625" style="138" bestFit="1" customWidth="1"/>
    <col min="57" max="57" width="7.77734375" style="36" bestFit="1" customWidth="1"/>
    <col min="58" max="58" width="12.44140625" bestFit="1" customWidth="1"/>
    <col min="59" max="59" width="13" bestFit="1" customWidth="1"/>
    <col min="60" max="60" width="11.44140625" bestFit="1" customWidth="1"/>
    <col min="61" max="61" width="7.77734375" style="36" customWidth="1"/>
    <col min="62" max="63" width="11.44140625" bestFit="1" customWidth="1"/>
    <col min="64" max="64" width="7.109375" style="36" bestFit="1" customWidth="1"/>
    <col min="65" max="66" width="11.44140625" bestFit="1" customWidth="1"/>
  </cols>
  <sheetData>
    <row r="1" spans="1:66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115"/>
      <c r="AL1" s="116"/>
      <c r="AM1" s="117"/>
      <c r="AN1" s="118" t="s">
        <v>53</v>
      </c>
      <c r="AO1" s="119"/>
      <c r="AP1" s="120"/>
      <c r="AQ1" s="121"/>
      <c r="AR1" s="145"/>
      <c r="AS1" s="146"/>
      <c r="AT1" s="147"/>
      <c r="AU1" s="148" t="s">
        <v>55</v>
      </c>
      <c r="AV1" s="149"/>
      <c r="AW1" s="150"/>
      <c r="AX1" s="151"/>
      <c r="AY1" s="154"/>
      <c r="AZ1" s="155"/>
      <c r="BA1" s="156"/>
      <c r="BB1" s="157" t="s">
        <v>58</v>
      </c>
      <c r="BC1" s="158"/>
      <c r="BD1" s="159"/>
      <c r="BE1" s="160"/>
      <c r="BF1" s="66"/>
      <c r="BG1" s="67"/>
      <c r="BH1" s="68"/>
      <c r="BI1" s="69" t="s">
        <v>46</v>
      </c>
      <c r="BJ1" s="67"/>
      <c r="BK1" s="68"/>
      <c r="BL1" s="70"/>
      <c r="BM1" s="71"/>
      <c r="BN1" s="72"/>
    </row>
    <row r="2" spans="1:66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22" t="s">
        <v>5</v>
      </c>
      <c r="AO2" s="123" t="s">
        <v>6</v>
      </c>
      <c r="AP2" s="124" t="s">
        <v>7</v>
      </c>
      <c r="AQ2" s="125" t="s">
        <v>5</v>
      </c>
      <c r="AR2" s="8" t="s">
        <v>2</v>
      </c>
      <c r="AS2" s="9" t="s">
        <v>3</v>
      </c>
      <c r="AT2" s="10" t="s">
        <v>4</v>
      </c>
      <c r="AU2" s="11" t="s">
        <v>5</v>
      </c>
      <c r="AV2" s="123" t="s">
        <v>6</v>
      </c>
      <c r="AW2" s="124" t="s">
        <v>7</v>
      </c>
      <c r="AX2" s="13" t="s">
        <v>5</v>
      </c>
      <c r="AY2" s="8" t="s">
        <v>2</v>
      </c>
      <c r="AZ2" s="9" t="s">
        <v>3</v>
      </c>
      <c r="BA2" s="10" t="s">
        <v>4</v>
      </c>
      <c r="BB2" s="11" t="s">
        <v>5</v>
      </c>
      <c r="BC2" s="123" t="s">
        <v>6</v>
      </c>
      <c r="BD2" s="124" t="s">
        <v>7</v>
      </c>
      <c r="BE2" s="13" t="s">
        <v>5</v>
      </c>
      <c r="BF2" s="8" t="s">
        <v>2</v>
      </c>
      <c r="BG2" s="9" t="s">
        <v>3</v>
      </c>
      <c r="BH2" s="10" t="s">
        <v>4</v>
      </c>
      <c r="BI2" s="11" t="s">
        <v>5</v>
      </c>
      <c r="BJ2" s="12" t="s">
        <v>6</v>
      </c>
      <c r="BK2" s="10" t="s">
        <v>7</v>
      </c>
      <c r="BL2" s="13" t="s">
        <v>5</v>
      </c>
      <c r="BM2" s="73" t="s">
        <v>47</v>
      </c>
      <c r="BN2" s="74" t="s">
        <v>48</v>
      </c>
    </row>
    <row r="3" spans="1:66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6"/>
      <c r="AM3" s="17"/>
      <c r="AN3" s="126"/>
      <c r="AO3" s="127"/>
      <c r="AP3" s="128"/>
      <c r="AQ3" s="129"/>
      <c r="AR3" s="15"/>
      <c r="AS3" s="16"/>
      <c r="AT3" s="17"/>
      <c r="AU3" s="18"/>
      <c r="AV3" s="127"/>
      <c r="AW3" s="128"/>
      <c r="AX3" s="21"/>
      <c r="AY3" s="15"/>
      <c r="AZ3" s="16"/>
      <c r="BA3" s="17"/>
      <c r="BB3" s="18"/>
      <c r="BC3" s="127"/>
      <c r="BD3" s="128"/>
      <c r="BE3" s="21"/>
      <c r="BF3" s="15"/>
      <c r="BG3" s="15"/>
      <c r="BH3" s="77"/>
      <c r="BI3" s="18"/>
      <c r="BJ3" s="19"/>
      <c r="BK3" s="20"/>
      <c r="BL3" s="21"/>
      <c r="BM3" s="16"/>
      <c r="BN3" s="26"/>
    </row>
    <row r="4" spans="1:66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1100559.3999999999</v>
      </c>
      <c r="AI4" s="25">
        <f>+AH4-AD4</f>
        <v>-238190.60000000009</v>
      </c>
      <c r="AJ4" s="18">
        <f>+AH4/AD4</f>
        <v>0.82207985060690936</v>
      </c>
      <c r="AK4" s="23">
        <v>1338750</v>
      </c>
      <c r="AL4" s="16">
        <v>1381159.65</v>
      </c>
      <c r="AM4" s="24">
        <f>+AL4-AK4</f>
        <v>42409.649999999907</v>
      </c>
      <c r="AN4" s="47">
        <f>+AL4/AK4</f>
        <v>1.031678543417367</v>
      </c>
      <c r="AO4" s="130">
        <v>1415472.58</v>
      </c>
      <c r="AP4" s="131">
        <f>+AO4-AK4</f>
        <v>76722.580000000075</v>
      </c>
      <c r="AQ4" s="47">
        <f>+AO4/AK4</f>
        <v>1.0573091167133521</v>
      </c>
      <c r="AR4" s="23">
        <v>1338750</v>
      </c>
      <c r="AS4" s="16">
        <v>1949080.02</v>
      </c>
      <c r="AT4" s="24">
        <f>+AS4-AR4</f>
        <v>610330.02</v>
      </c>
      <c r="AU4" s="47">
        <f>+AS4/AR4</f>
        <v>1.4558954397759103</v>
      </c>
      <c r="AV4" s="130">
        <v>1200411.3899999999</v>
      </c>
      <c r="AW4" s="131">
        <f>+AV4-AR4</f>
        <v>-138338.6100000001</v>
      </c>
      <c r="AX4" s="18">
        <f>+AV4/AR4</f>
        <v>0.89666583753501394</v>
      </c>
      <c r="AY4" s="23">
        <v>1338750</v>
      </c>
      <c r="AZ4" s="16">
        <v>1164168.8</v>
      </c>
      <c r="BA4" s="24">
        <f>+AZ4-AY4</f>
        <v>-174581.19999999995</v>
      </c>
      <c r="BB4" s="18">
        <f>+AZ4/AY4</f>
        <v>0.86959387488328665</v>
      </c>
      <c r="BC4" s="130">
        <v>1752835.15</v>
      </c>
      <c r="BD4" s="131">
        <f>+BC4-AY4</f>
        <v>414085.14999999991</v>
      </c>
      <c r="BE4" s="47">
        <f>+BC4/AY4</f>
        <v>1.3093073015873016</v>
      </c>
      <c r="BF4" s="23">
        <f>+B4+I4+P4+W4+AD4+AK4+AR4+AY4</f>
        <v>10710000</v>
      </c>
      <c r="BG4" s="23">
        <f>+C4+J4+Q4+X4+AE4+AL4+AS4+AZ4</f>
        <v>9682299.790000001</v>
      </c>
      <c r="BH4" s="24">
        <f>+BG4-BF4</f>
        <v>-1027700.209999999</v>
      </c>
      <c r="BI4" s="18">
        <f>+BG4/BF4</f>
        <v>0.90404293090569565</v>
      </c>
      <c r="BJ4" s="16">
        <f>+F4+M4+T4+AA4+AH4+AO4+AV4+BC4</f>
        <v>8584689.629999999</v>
      </c>
      <c r="BK4" s="25">
        <f>+BJ4-BF4</f>
        <v>-2125310.370000001</v>
      </c>
      <c r="BL4" s="18">
        <f>+BJ4/BF4</f>
        <v>0.80155832212885147</v>
      </c>
      <c r="BM4" s="16">
        <f>+BG4/8</f>
        <v>1210287.4737500001</v>
      </c>
      <c r="BN4" s="26">
        <f>+BJ4/8</f>
        <v>1073086.2037499999</v>
      </c>
    </row>
    <row r="5" spans="1:66" x14ac:dyDescent="0.3">
      <c r="A5" s="22" t="s">
        <v>9</v>
      </c>
      <c r="B5" s="23"/>
      <c r="C5" s="16"/>
      <c r="D5" s="24">
        <f t="shared" ref="D5:D19" si="0">+C5-B5</f>
        <v>0</v>
      </c>
      <c r="E5" s="18"/>
      <c r="F5" s="28"/>
      <c r="G5" s="25">
        <f t="shared" ref="G5:G19" si="1">+F5-B5</f>
        <v>0</v>
      </c>
      <c r="H5" s="18"/>
      <c r="I5" s="23"/>
      <c r="J5" s="16"/>
      <c r="K5" s="24">
        <f t="shared" ref="K5:K19" si="2">+J5-I5</f>
        <v>0</v>
      </c>
      <c r="L5" s="18"/>
      <c r="M5" s="28"/>
      <c r="N5" s="25">
        <f t="shared" ref="N5:N13" si="3">+M5-I5</f>
        <v>0</v>
      </c>
      <c r="O5" s="18"/>
      <c r="P5" s="23"/>
      <c r="Q5" s="16">
        <v>333.62</v>
      </c>
      <c r="R5" s="24">
        <f t="shared" ref="R5:R19" si="4">+Q5-P5</f>
        <v>333.62</v>
      </c>
      <c r="S5" s="18"/>
      <c r="T5" s="28"/>
      <c r="U5" s="25">
        <f t="shared" ref="U5:U13" si="5">+T5-P5</f>
        <v>0</v>
      </c>
      <c r="V5" s="18"/>
      <c r="W5" s="23"/>
      <c r="X5" s="16"/>
      <c r="Y5" s="24">
        <f t="shared" ref="Y5:Y19" si="6">+X5-W5</f>
        <v>0</v>
      </c>
      <c r="Z5" s="18"/>
      <c r="AA5" s="28"/>
      <c r="AB5" s="25">
        <f t="shared" ref="AB5:AB13" si="7">+AA5-W5</f>
        <v>0</v>
      </c>
      <c r="AC5" s="18"/>
      <c r="AD5" s="23"/>
      <c r="AE5" s="16"/>
      <c r="AF5" s="24">
        <f t="shared" ref="AF5:AF19" si="8">+AE5-AD5</f>
        <v>0</v>
      </c>
      <c r="AG5" s="18"/>
      <c r="AH5" s="28"/>
      <c r="AI5" s="25">
        <f t="shared" ref="AI5:AI13" si="9">+AH5-AD5</f>
        <v>0</v>
      </c>
      <c r="AJ5" s="18"/>
      <c r="AK5" s="23"/>
      <c r="AL5" s="16"/>
      <c r="AM5" s="24">
        <f t="shared" ref="AM5:AM19" si="10">+AL5-AK5</f>
        <v>0</v>
      </c>
      <c r="AN5" s="126"/>
      <c r="AO5" s="132"/>
      <c r="AP5" s="131">
        <f t="shared" ref="AP5:AP13" si="11">+AO5-AK5</f>
        <v>0</v>
      </c>
      <c r="AQ5" s="126"/>
      <c r="AR5" s="23"/>
      <c r="AS5" s="16"/>
      <c r="AT5" s="24">
        <f t="shared" ref="AT5:AT19" si="12">+AS5-AR5</f>
        <v>0</v>
      </c>
      <c r="AU5" s="18"/>
      <c r="AV5" s="132"/>
      <c r="AW5" s="131">
        <f t="shared" ref="AW5:AW13" si="13">+AV5-AR5</f>
        <v>0</v>
      </c>
      <c r="AX5" s="18"/>
      <c r="AY5" s="23"/>
      <c r="AZ5" s="16"/>
      <c r="BA5" s="24">
        <f t="shared" ref="BA5:BA19" si="14">+AZ5-AY5</f>
        <v>0</v>
      </c>
      <c r="BB5" s="18"/>
      <c r="BC5" s="132"/>
      <c r="BD5" s="131">
        <f t="shared" ref="BD5:BD13" si="15">+BC5-AY5</f>
        <v>0</v>
      </c>
      <c r="BE5" s="18"/>
      <c r="BF5" s="23">
        <f t="shared" ref="BF5:BF20" si="16">+B5+I5+P5+W5+AD5+AK5+AR5+AY5</f>
        <v>0</v>
      </c>
      <c r="BG5" s="23">
        <f t="shared" ref="BG5:BG20" si="17">+C5+J5+Q5+X5+AE5+AL5+AS5+AZ5</f>
        <v>333.62</v>
      </c>
      <c r="BH5" s="24">
        <f t="shared" ref="BH5:BH20" si="18">+BG5-BF5</f>
        <v>333.62</v>
      </c>
      <c r="BI5" s="18"/>
      <c r="BJ5" s="16">
        <f t="shared" ref="BJ5:BJ20" si="19">+F5+M5+T5+AA5+AH5+AO5+AV5+BC5</f>
        <v>0</v>
      </c>
      <c r="BK5" s="25">
        <f t="shared" ref="BK5:BK20" si="20">+BJ5-BF5</f>
        <v>0</v>
      </c>
      <c r="BL5" s="18"/>
      <c r="BM5" s="16">
        <f t="shared" ref="BM5:BM20" si="21">+BG5/8</f>
        <v>41.702500000000001</v>
      </c>
      <c r="BN5" s="26">
        <f t="shared" ref="BN5:BN20" si="22">+BJ5/8</f>
        <v>0</v>
      </c>
    </row>
    <row r="6" spans="1:66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3" si="23">+C6/B6</f>
        <v>1.5115234571428571</v>
      </c>
      <c r="F6" s="28">
        <v>733269.34</v>
      </c>
      <c r="G6" s="25">
        <f t="shared" si="1"/>
        <v>383269.33999999997</v>
      </c>
      <c r="H6" s="47">
        <f t="shared" ref="H6:H19" si="24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3" si="25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3" si="26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3" si="27">+Q6/P6</f>
        <v>0.17456677777777779</v>
      </c>
      <c r="T6" s="28">
        <v>92549.31</v>
      </c>
      <c r="U6" s="25">
        <f t="shared" si="5"/>
        <v>-357450.69</v>
      </c>
      <c r="V6" s="18">
        <f t="shared" ref="V6:V13" si="28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3" si="29">+X6/W6</f>
        <v>0.44524607999999999</v>
      </c>
      <c r="AA6" s="28">
        <v>249803.76</v>
      </c>
      <c r="AB6" s="25">
        <f t="shared" si="7"/>
        <v>-250196.24</v>
      </c>
      <c r="AC6" s="18">
        <f t="shared" ref="AC6:AC13" si="30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3" si="31">+AE6/AD6</f>
        <v>0.16078852727272727</v>
      </c>
      <c r="AH6" s="28">
        <v>73899.7</v>
      </c>
      <c r="AI6" s="25">
        <f t="shared" si="9"/>
        <v>-476100.3</v>
      </c>
      <c r="AJ6" s="18">
        <f t="shared" ref="AJ6:AJ13" si="32">+AH6/AD6</f>
        <v>0.1343630909090909</v>
      </c>
      <c r="AK6" s="26">
        <v>600000</v>
      </c>
      <c r="AL6" s="16">
        <v>329742.83</v>
      </c>
      <c r="AM6" s="24">
        <f t="shared" si="10"/>
        <v>-270257.17</v>
      </c>
      <c r="AN6" s="126">
        <f t="shared" ref="AN6:AN13" si="33">+AL6/AK6</f>
        <v>0.54957138333333333</v>
      </c>
      <c r="AO6" s="132">
        <v>340216.77</v>
      </c>
      <c r="AP6" s="131">
        <f t="shared" si="11"/>
        <v>-259783.22999999998</v>
      </c>
      <c r="AQ6" s="126">
        <f t="shared" ref="AQ6:AQ13" si="34">+AO6/AK6</f>
        <v>0.56702795000000006</v>
      </c>
      <c r="AR6" s="26">
        <v>650000</v>
      </c>
      <c r="AS6" s="16">
        <v>244304.64000000001</v>
      </c>
      <c r="AT6" s="24">
        <f t="shared" si="12"/>
        <v>-405695.36</v>
      </c>
      <c r="AU6" s="18">
        <f t="shared" ref="AU6:AU13" si="35">+AS6/AR6</f>
        <v>0.37585329230769232</v>
      </c>
      <c r="AV6" s="132">
        <v>213600.19</v>
      </c>
      <c r="AW6" s="131">
        <f t="shared" si="13"/>
        <v>-436399.81</v>
      </c>
      <c r="AX6" s="18">
        <f t="shared" ref="AX6:AX13" si="36">+AV6/AR6</f>
        <v>0.32861567692307692</v>
      </c>
      <c r="AY6" s="26">
        <v>700000</v>
      </c>
      <c r="AZ6" s="16">
        <v>155132.24</v>
      </c>
      <c r="BA6" s="24">
        <f t="shared" si="14"/>
        <v>-544867.76</v>
      </c>
      <c r="BB6" s="18">
        <f t="shared" ref="BB6:BB13" si="37">+AZ6/AY6</f>
        <v>0.22161748571428569</v>
      </c>
      <c r="BC6" s="132">
        <v>165452.94</v>
      </c>
      <c r="BD6" s="131">
        <f t="shared" si="15"/>
        <v>-534547.06000000006</v>
      </c>
      <c r="BE6" s="18">
        <f t="shared" ref="BE6:BE13" si="38">+BC6/AY6</f>
        <v>0.23636134285714286</v>
      </c>
      <c r="BF6" s="23">
        <f t="shared" si="16"/>
        <v>4200000</v>
      </c>
      <c r="BG6" s="23">
        <f t="shared" si="17"/>
        <v>2174649.0099999998</v>
      </c>
      <c r="BH6" s="24">
        <f t="shared" si="18"/>
        <v>-2025350.9900000002</v>
      </c>
      <c r="BI6" s="18">
        <f t="shared" ref="BI6:BI19" si="39">+BG6/BF6</f>
        <v>0.51777357380952371</v>
      </c>
      <c r="BJ6" s="16">
        <f t="shared" si="19"/>
        <v>2158675.29</v>
      </c>
      <c r="BK6" s="25">
        <f t="shared" si="20"/>
        <v>-2041324.71</v>
      </c>
      <c r="BL6" s="18">
        <f t="shared" ref="BL6:BL19" si="40">+BJ6/BF6</f>
        <v>0.51397030714285719</v>
      </c>
      <c r="BM6" s="16">
        <f t="shared" si="21"/>
        <v>271831.12624999997</v>
      </c>
      <c r="BN6" s="26">
        <f t="shared" si="22"/>
        <v>269834.41125</v>
      </c>
    </row>
    <row r="7" spans="1:66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23"/>
        <v>1.2200101967493584</v>
      </c>
      <c r="F7" s="28">
        <v>1033129.09</v>
      </c>
      <c r="G7" s="25">
        <f t="shared" si="1"/>
        <v>156379.08999999997</v>
      </c>
      <c r="H7" s="105">
        <f t="shared" si="24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25"/>
        <v>1.2477482634730539</v>
      </c>
      <c r="M7" s="28">
        <v>1174515.3999999999</v>
      </c>
      <c r="N7" s="25">
        <f t="shared" si="3"/>
        <v>297765.39999999991</v>
      </c>
      <c r="O7" s="47">
        <f t="shared" si="26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27"/>
        <v>0.93849876247504993</v>
      </c>
      <c r="T7" s="28">
        <v>927646.45</v>
      </c>
      <c r="U7" s="25">
        <f t="shared" si="5"/>
        <v>50896.449999999953</v>
      </c>
      <c r="V7" s="47">
        <f t="shared" si="28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29"/>
        <v>0.84989789563729679</v>
      </c>
      <c r="AA7" s="28">
        <v>547748.51</v>
      </c>
      <c r="AB7" s="25">
        <f t="shared" si="7"/>
        <v>-329001.49</v>
      </c>
      <c r="AC7" s="18">
        <f t="shared" si="30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31"/>
        <v>0.94251808383233526</v>
      </c>
      <c r="AH7" s="28">
        <v>935266.05</v>
      </c>
      <c r="AI7" s="25">
        <f t="shared" si="9"/>
        <v>58516.050000000047</v>
      </c>
      <c r="AJ7" s="47">
        <f t="shared" si="32"/>
        <v>1.066742001710864</v>
      </c>
      <c r="AK7" s="26">
        <v>876750</v>
      </c>
      <c r="AL7" s="16">
        <v>788588.77</v>
      </c>
      <c r="AM7" s="24">
        <f t="shared" si="10"/>
        <v>-88161.229999999981</v>
      </c>
      <c r="AN7" s="126">
        <f t="shared" si="33"/>
        <v>0.89944541773595665</v>
      </c>
      <c r="AO7" s="132">
        <v>1028781.18</v>
      </c>
      <c r="AP7" s="131">
        <f t="shared" si="11"/>
        <v>152031.18000000005</v>
      </c>
      <c r="AQ7" s="47">
        <f t="shared" si="34"/>
        <v>1.1734031137724552</v>
      </c>
      <c r="AR7" s="26">
        <v>876750</v>
      </c>
      <c r="AS7" s="16">
        <v>1514700.85</v>
      </c>
      <c r="AT7" s="24">
        <f t="shared" si="12"/>
        <v>637950.85000000009</v>
      </c>
      <c r="AU7" s="47">
        <f t="shared" si="35"/>
        <v>1.7276314228685488</v>
      </c>
      <c r="AV7" s="132">
        <v>1275476.93</v>
      </c>
      <c r="AW7" s="131">
        <f t="shared" si="13"/>
        <v>398726.92999999993</v>
      </c>
      <c r="AX7" s="47">
        <f t="shared" si="36"/>
        <v>1.454778363273453</v>
      </c>
      <c r="AY7" s="26">
        <v>876750</v>
      </c>
      <c r="AZ7" s="16">
        <v>861517.78</v>
      </c>
      <c r="BA7" s="24">
        <f t="shared" si="14"/>
        <v>-15232.219999999972</v>
      </c>
      <c r="BB7" s="18">
        <f t="shared" si="37"/>
        <v>0.98262649558026804</v>
      </c>
      <c r="BC7" s="132">
        <v>859733.81</v>
      </c>
      <c r="BD7" s="131">
        <f t="shared" si="15"/>
        <v>-17016.189999999944</v>
      </c>
      <c r="BE7" s="18">
        <f t="shared" si="38"/>
        <v>0.98059174222982615</v>
      </c>
      <c r="BF7" s="23">
        <f t="shared" si="16"/>
        <v>7014000</v>
      </c>
      <c r="BG7" s="23">
        <f t="shared" si="17"/>
        <v>7722744.1299999999</v>
      </c>
      <c r="BH7" s="24">
        <f t="shared" si="18"/>
        <v>708744.12999999989</v>
      </c>
      <c r="BI7" s="47">
        <f t="shared" si="39"/>
        <v>1.1010470672939834</v>
      </c>
      <c r="BJ7" s="16">
        <f t="shared" si="19"/>
        <v>7782297.4199999981</v>
      </c>
      <c r="BK7" s="25">
        <f t="shared" si="20"/>
        <v>768297.41999999806</v>
      </c>
      <c r="BL7" s="47">
        <f t="shared" si="40"/>
        <v>1.1095376988879382</v>
      </c>
      <c r="BM7" s="16">
        <f t="shared" si="21"/>
        <v>965343.01624999999</v>
      </c>
      <c r="BN7" s="26">
        <f t="shared" si="22"/>
        <v>972787.17749999976</v>
      </c>
    </row>
    <row r="8" spans="1:66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23"/>
        <v>0.35595089999999996</v>
      </c>
      <c r="F8" s="28">
        <v>19135.27</v>
      </c>
      <c r="G8" s="25">
        <f t="shared" si="1"/>
        <v>-80864.73</v>
      </c>
      <c r="H8" s="108">
        <f t="shared" si="24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25"/>
        <v>1.1560655333333332</v>
      </c>
      <c r="M8" s="28">
        <v>302930.28999999998</v>
      </c>
      <c r="N8" s="25">
        <f t="shared" si="3"/>
        <v>152930.28999999998</v>
      </c>
      <c r="O8" s="47">
        <f t="shared" si="26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27"/>
        <v>1.2518899999999999</v>
      </c>
      <c r="T8" s="28">
        <v>183223.25</v>
      </c>
      <c r="U8" s="25">
        <f t="shared" si="5"/>
        <v>-16776.75</v>
      </c>
      <c r="V8" s="18">
        <f t="shared" si="28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29"/>
        <v>1.2306406000000001</v>
      </c>
      <c r="AA8" s="28">
        <v>413578.44</v>
      </c>
      <c r="AB8" s="25">
        <f t="shared" si="7"/>
        <v>163578.44</v>
      </c>
      <c r="AC8" s="47">
        <f t="shared" si="30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31"/>
        <v>3.0624049666666666</v>
      </c>
      <c r="AH8" s="28">
        <v>1378236.43</v>
      </c>
      <c r="AI8" s="25">
        <f t="shared" si="9"/>
        <v>1078236.43</v>
      </c>
      <c r="AJ8" s="47">
        <f t="shared" si="32"/>
        <v>4.5941214333333331</v>
      </c>
      <c r="AK8" s="26">
        <v>350000</v>
      </c>
      <c r="AL8" s="16">
        <v>141282</v>
      </c>
      <c r="AM8" s="24">
        <f t="shared" si="10"/>
        <v>-208718</v>
      </c>
      <c r="AN8" s="126">
        <f t="shared" si="33"/>
        <v>0.40366285714285716</v>
      </c>
      <c r="AO8" s="132">
        <v>82357.23</v>
      </c>
      <c r="AP8" s="131">
        <f t="shared" si="11"/>
        <v>-267642.77</v>
      </c>
      <c r="AQ8" s="126">
        <f t="shared" si="34"/>
        <v>0.23530637142857141</v>
      </c>
      <c r="AR8" s="26">
        <v>400000</v>
      </c>
      <c r="AS8" s="16">
        <v>732884.89</v>
      </c>
      <c r="AT8" s="24">
        <f t="shared" si="12"/>
        <v>332884.89</v>
      </c>
      <c r="AU8" s="47">
        <f t="shared" si="35"/>
        <v>1.8322122250000001</v>
      </c>
      <c r="AV8" s="132">
        <v>387262.81</v>
      </c>
      <c r="AW8" s="131">
        <f t="shared" si="13"/>
        <v>-12737.190000000002</v>
      </c>
      <c r="AX8" s="18">
        <f t="shared" si="36"/>
        <v>0.968157025</v>
      </c>
      <c r="AY8" s="26">
        <v>450000</v>
      </c>
      <c r="AZ8" s="16">
        <v>194936.59</v>
      </c>
      <c r="BA8" s="24">
        <f t="shared" si="14"/>
        <v>-255063.41</v>
      </c>
      <c r="BB8" s="18">
        <f t="shared" si="37"/>
        <v>0.43319242222222221</v>
      </c>
      <c r="BC8" s="132">
        <v>161335.79999999999</v>
      </c>
      <c r="BD8" s="131">
        <f t="shared" si="15"/>
        <v>-288664.2</v>
      </c>
      <c r="BE8" s="18">
        <f t="shared" si="38"/>
        <v>0.35852399999999995</v>
      </c>
      <c r="BF8" s="23">
        <f t="shared" si="16"/>
        <v>2200000</v>
      </c>
      <c r="BG8" s="23">
        <f t="shared" si="17"/>
        <v>2754868.04</v>
      </c>
      <c r="BH8" s="24">
        <f t="shared" si="18"/>
        <v>554868.04</v>
      </c>
      <c r="BI8" s="47">
        <f t="shared" si="39"/>
        <v>1.2522127454545455</v>
      </c>
      <c r="BJ8" s="16">
        <f t="shared" si="19"/>
        <v>2928059.5199999996</v>
      </c>
      <c r="BK8" s="25">
        <f t="shared" si="20"/>
        <v>728059.51999999955</v>
      </c>
      <c r="BL8" s="47">
        <f t="shared" si="40"/>
        <v>1.3309361454545452</v>
      </c>
      <c r="BM8" s="16">
        <f t="shared" si="21"/>
        <v>344358.505</v>
      </c>
      <c r="BN8" s="26">
        <f t="shared" si="22"/>
        <v>366007.43999999994</v>
      </c>
    </row>
    <row r="9" spans="1:66" x14ac:dyDescent="0.3">
      <c r="A9" s="152" t="s">
        <v>13</v>
      </c>
      <c r="B9" s="26">
        <v>500000</v>
      </c>
      <c r="C9" s="16"/>
      <c r="D9" s="24">
        <f t="shared" si="0"/>
        <v>-500000</v>
      </c>
      <c r="E9" s="18">
        <f t="shared" si="23"/>
        <v>0</v>
      </c>
      <c r="F9" s="28"/>
      <c r="G9" s="25">
        <f t="shared" si="1"/>
        <v>-500000</v>
      </c>
      <c r="H9" s="108">
        <f t="shared" si="24"/>
        <v>0</v>
      </c>
      <c r="I9" s="106">
        <v>550000</v>
      </c>
      <c r="J9" s="107"/>
      <c r="K9" s="24">
        <f t="shared" si="2"/>
        <v>-550000</v>
      </c>
      <c r="L9" s="108">
        <f t="shared" si="25"/>
        <v>0</v>
      </c>
      <c r="M9" s="28"/>
      <c r="N9" s="25">
        <f t="shared" si="3"/>
        <v>-550000</v>
      </c>
      <c r="O9" s="18">
        <f t="shared" si="26"/>
        <v>0</v>
      </c>
      <c r="P9" s="26">
        <v>600000</v>
      </c>
      <c r="Q9" s="16"/>
      <c r="R9" s="24">
        <f t="shared" si="4"/>
        <v>-600000</v>
      </c>
      <c r="S9" s="18">
        <f t="shared" si="27"/>
        <v>0</v>
      </c>
      <c r="T9" s="28"/>
      <c r="U9" s="25">
        <f t="shared" si="5"/>
        <v>-600000</v>
      </c>
      <c r="V9" s="18">
        <f t="shared" si="28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29"/>
        <v>0.15135869230769231</v>
      </c>
      <c r="AA9" s="28">
        <v>82902.45</v>
      </c>
      <c r="AB9" s="25">
        <f t="shared" si="7"/>
        <v>-567097.55000000005</v>
      </c>
      <c r="AC9" s="18">
        <f t="shared" si="30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31"/>
        <v>6.9524285714285712E-4</v>
      </c>
      <c r="AH9" s="28">
        <v>15967.69</v>
      </c>
      <c r="AI9" s="25">
        <f t="shared" si="9"/>
        <v>-684032.31</v>
      </c>
      <c r="AJ9" s="18">
        <f t="shared" si="32"/>
        <v>2.2810985714285716E-2</v>
      </c>
      <c r="AK9" s="26">
        <v>750000</v>
      </c>
      <c r="AL9" s="16"/>
      <c r="AM9" s="24">
        <f t="shared" si="10"/>
        <v>-750000</v>
      </c>
      <c r="AN9" s="126">
        <f t="shared" si="33"/>
        <v>0</v>
      </c>
      <c r="AO9" s="132"/>
      <c r="AP9" s="131">
        <f t="shared" si="11"/>
        <v>-750000</v>
      </c>
      <c r="AQ9" s="126">
        <f t="shared" si="34"/>
        <v>0</v>
      </c>
      <c r="AR9" s="26">
        <v>800000</v>
      </c>
      <c r="AS9" s="16"/>
      <c r="AT9" s="24">
        <f t="shared" si="12"/>
        <v>-800000</v>
      </c>
      <c r="AU9" s="18">
        <f t="shared" si="35"/>
        <v>0</v>
      </c>
      <c r="AV9" s="132"/>
      <c r="AW9" s="131">
        <f t="shared" si="13"/>
        <v>-800000</v>
      </c>
      <c r="AX9" s="18">
        <f t="shared" si="36"/>
        <v>0</v>
      </c>
      <c r="AY9" s="26">
        <v>850000</v>
      </c>
      <c r="AZ9" s="16"/>
      <c r="BA9" s="24">
        <f t="shared" si="14"/>
        <v>-850000</v>
      </c>
      <c r="BB9" s="18">
        <f t="shared" si="37"/>
        <v>0</v>
      </c>
      <c r="BC9" s="132"/>
      <c r="BD9" s="131">
        <f t="shared" si="15"/>
        <v>-850000</v>
      </c>
      <c r="BE9" s="18">
        <f t="shared" si="38"/>
        <v>0</v>
      </c>
      <c r="BF9" s="23">
        <f t="shared" si="16"/>
        <v>5400000</v>
      </c>
      <c r="BG9" s="23">
        <f t="shared" si="17"/>
        <v>98869.819999999992</v>
      </c>
      <c r="BH9" s="24">
        <f t="shared" si="18"/>
        <v>-5301130.18</v>
      </c>
      <c r="BI9" s="18">
        <f t="shared" si="39"/>
        <v>1.8309225925925925E-2</v>
      </c>
      <c r="BJ9" s="16">
        <f t="shared" si="19"/>
        <v>98870.14</v>
      </c>
      <c r="BK9" s="25">
        <f t="shared" si="20"/>
        <v>-5301129.8600000003</v>
      </c>
      <c r="BL9" s="18">
        <f t="shared" si="40"/>
        <v>1.8309285185185185E-2</v>
      </c>
      <c r="BM9" s="16">
        <f t="shared" si="21"/>
        <v>12358.727499999999</v>
      </c>
      <c r="BN9" s="26">
        <f t="shared" si="22"/>
        <v>12358.7675</v>
      </c>
    </row>
    <row r="10" spans="1:66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23"/>
        <v>0.53262757049486464</v>
      </c>
      <c r="F10" s="28">
        <v>722856.95</v>
      </c>
      <c r="G10" s="25">
        <f t="shared" si="1"/>
        <v>-615893.05000000005</v>
      </c>
      <c r="H10" s="108">
        <f t="shared" si="24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25"/>
        <v>0.57890987114845938</v>
      </c>
      <c r="M10" s="28">
        <v>628695.55000000005</v>
      </c>
      <c r="N10" s="25">
        <f t="shared" si="3"/>
        <v>-710054.45</v>
      </c>
      <c r="O10" s="18">
        <f t="shared" si="26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27"/>
        <v>1.1892632306255835</v>
      </c>
      <c r="T10" s="28">
        <v>252033.57</v>
      </c>
      <c r="U10" s="25">
        <f t="shared" si="5"/>
        <v>-1086716.43</v>
      </c>
      <c r="V10" s="18">
        <f t="shared" si="28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29"/>
        <v>1.1825044481792717</v>
      </c>
      <c r="AA10" s="28">
        <v>2214145.9300000002</v>
      </c>
      <c r="AB10" s="25">
        <f t="shared" si="7"/>
        <v>875395.93000000017</v>
      </c>
      <c r="AC10" s="47">
        <f t="shared" si="30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31"/>
        <v>0.32929548459383756</v>
      </c>
      <c r="AH10" s="28">
        <v>756675.73</v>
      </c>
      <c r="AI10" s="25">
        <f t="shared" si="9"/>
        <v>-582074.27</v>
      </c>
      <c r="AJ10" s="18">
        <f t="shared" si="32"/>
        <v>0.56521062931839405</v>
      </c>
      <c r="AK10" s="23">
        <v>1338750</v>
      </c>
      <c r="AL10" s="16">
        <v>272694.53000000003</v>
      </c>
      <c r="AM10" s="24">
        <f t="shared" si="10"/>
        <v>-1066055.47</v>
      </c>
      <c r="AN10" s="126">
        <f t="shared" si="33"/>
        <v>0.20369339309056958</v>
      </c>
      <c r="AO10" s="132">
        <v>104563.37</v>
      </c>
      <c r="AP10" s="131">
        <f t="shared" si="11"/>
        <v>-1234186.6299999999</v>
      </c>
      <c r="AQ10" s="126">
        <f t="shared" si="34"/>
        <v>7.8105225023342661E-2</v>
      </c>
      <c r="AR10" s="23">
        <v>1338750</v>
      </c>
      <c r="AS10" s="16">
        <v>431354.72</v>
      </c>
      <c r="AT10" s="24">
        <f t="shared" si="12"/>
        <v>-907395.28</v>
      </c>
      <c r="AU10" s="18">
        <f t="shared" si="35"/>
        <v>0.32220707376283847</v>
      </c>
      <c r="AV10" s="132">
        <v>212083.33</v>
      </c>
      <c r="AW10" s="131">
        <f t="shared" si="13"/>
        <v>-1126666.67</v>
      </c>
      <c r="AX10" s="18">
        <f t="shared" si="36"/>
        <v>0.15841892063492063</v>
      </c>
      <c r="AY10" s="23">
        <v>1338750</v>
      </c>
      <c r="AZ10" s="16">
        <v>353870.31</v>
      </c>
      <c r="BA10" s="24">
        <f t="shared" si="14"/>
        <v>-984879.69</v>
      </c>
      <c r="BB10" s="18">
        <f t="shared" si="37"/>
        <v>0.2643288963585434</v>
      </c>
      <c r="BC10" s="132">
        <v>509808.8</v>
      </c>
      <c r="BD10" s="131">
        <f t="shared" si="15"/>
        <v>-828941.2</v>
      </c>
      <c r="BE10" s="18">
        <f t="shared" si="38"/>
        <v>0.38080956115779646</v>
      </c>
      <c r="BF10" s="23">
        <f t="shared" si="16"/>
        <v>10710000</v>
      </c>
      <c r="BG10" s="23">
        <f t="shared" si="17"/>
        <v>6162038.6200000001</v>
      </c>
      <c r="BH10" s="24">
        <f t="shared" si="18"/>
        <v>-4547961.38</v>
      </c>
      <c r="BI10" s="18">
        <f t="shared" si="39"/>
        <v>0.57535374603174605</v>
      </c>
      <c r="BJ10" s="16">
        <f t="shared" si="19"/>
        <v>5400863.2300000004</v>
      </c>
      <c r="BK10" s="25">
        <f t="shared" si="20"/>
        <v>-5309136.7699999996</v>
      </c>
      <c r="BL10" s="18">
        <f t="shared" si="40"/>
        <v>0.50428228104575168</v>
      </c>
      <c r="BM10" s="16">
        <f t="shared" si="21"/>
        <v>770254.82750000001</v>
      </c>
      <c r="BN10" s="26">
        <f t="shared" si="22"/>
        <v>675107.90375000006</v>
      </c>
    </row>
    <row r="11" spans="1:66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23"/>
        <v>1.5186024201680672</v>
      </c>
      <c r="F11" s="28">
        <v>927392.51</v>
      </c>
      <c r="G11" s="25">
        <f t="shared" si="1"/>
        <v>-411357.49</v>
      </c>
      <c r="H11" s="108">
        <f t="shared" si="24"/>
        <v>0.69273016619981331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25"/>
        <v>1.2767597908496731</v>
      </c>
      <c r="M11" s="28">
        <v>365024.32</v>
      </c>
      <c r="N11" s="25">
        <f t="shared" si="3"/>
        <v>-973725.67999999993</v>
      </c>
      <c r="O11" s="18">
        <f t="shared" si="26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27"/>
        <v>0.45679382259570495</v>
      </c>
      <c r="T11" s="28">
        <v>615830.28</v>
      </c>
      <c r="U11" s="25">
        <f t="shared" si="5"/>
        <v>-722919.72</v>
      </c>
      <c r="V11" s="18">
        <f t="shared" si="28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29"/>
        <v>0.27551929785247437</v>
      </c>
      <c r="AA11" s="28">
        <v>381124.19</v>
      </c>
      <c r="AB11" s="25">
        <f t="shared" si="7"/>
        <v>-957625.81</v>
      </c>
      <c r="AC11" s="18">
        <f t="shared" si="30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31"/>
        <v>0.10908490009337068</v>
      </c>
      <c r="AH11" s="28">
        <v>125362.71</v>
      </c>
      <c r="AI11" s="25">
        <f t="shared" si="9"/>
        <v>-1213387.29</v>
      </c>
      <c r="AJ11" s="18">
        <f t="shared" si="32"/>
        <v>9.364161344537815E-2</v>
      </c>
      <c r="AK11" s="23">
        <v>1338750</v>
      </c>
      <c r="AL11" s="16">
        <v>1501000.36</v>
      </c>
      <c r="AM11" s="24">
        <f t="shared" si="10"/>
        <v>162250.3600000001</v>
      </c>
      <c r="AN11" s="47">
        <f t="shared" si="33"/>
        <v>1.1211954136321196</v>
      </c>
      <c r="AO11" s="132">
        <v>951284.35</v>
      </c>
      <c r="AP11" s="131">
        <f t="shared" si="11"/>
        <v>-387465.65</v>
      </c>
      <c r="AQ11" s="126">
        <f t="shared" si="34"/>
        <v>0.71057654528478054</v>
      </c>
      <c r="AR11" s="23">
        <v>1338750</v>
      </c>
      <c r="AS11" s="16">
        <v>1325161.8400000001</v>
      </c>
      <c r="AT11" s="24">
        <f t="shared" si="12"/>
        <v>-13588.159999999916</v>
      </c>
      <c r="AU11" s="18">
        <f t="shared" si="35"/>
        <v>0.98985011391223166</v>
      </c>
      <c r="AV11" s="132">
        <v>935934.95</v>
      </c>
      <c r="AW11" s="131">
        <f t="shared" si="13"/>
        <v>-402815.05000000005</v>
      </c>
      <c r="AX11" s="18">
        <f t="shared" si="36"/>
        <v>0.69911107376283843</v>
      </c>
      <c r="AY11" s="23">
        <v>1338750</v>
      </c>
      <c r="AZ11" s="16">
        <v>967881.18</v>
      </c>
      <c r="BA11" s="24">
        <f t="shared" si="14"/>
        <v>-370868.81999999995</v>
      </c>
      <c r="BB11" s="18">
        <f t="shared" si="37"/>
        <v>0.72297380392156863</v>
      </c>
      <c r="BC11" s="132">
        <v>727520.43</v>
      </c>
      <c r="BD11" s="131">
        <f t="shared" si="15"/>
        <v>-611229.56999999995</v>
      </c>
      <c r="BE11" s="18">
        <f t="shared" si="38"/>
        <v>0.54343262745098042</v>
      </c>
      <c r="BF11" s="23">
        <f t="shared" si="16"/>
        <v>10710000</v>
      </c>
      <c r="BG11" s="23">
        <f t="shared" si="17"/>
        <v>8662756.1400000006</v>
      </c>
      <c r="BH11" s="24">
        <f t="shared" si="18"/>
        <v>-2047243.8599999994</v>
      </c>
      <c r="BI11" s="18">
        <f t="shared" si="39"/>
        <v>0.80884744537815134</v>
      </c>
      <c r="BJ11" s="16">
        <f t="shared" si="19"/>
        <v>5029473.74</v>
      </c>
      <c r="BK11" s="25">
        <f t="shared" si="20"/>
        <v>-5680526.2599999998</v>
      </c>
      <c r="BL11" s="18">
        <f t="shared" si="40"/>
        <v>0.46960539122315598</v>
      </c>
      <c r="BM11" s="16">
        <f t="shared" si="21"/>
        <v>1082844.5175000001</v>
      </c>
      <c r="BN11" s="26">
        <f t="shared" si="22"/>
        <v>628684.21750000003</v>
      </c>
    </row>
    <row r="12" spans="1:66" x14ac:dyDescent="0.3">
      <c r="A12" s="22" t="s">
        <v>54</v>
      </c>
      <c r="B12" s="23"/>
      <c r="C12" s="16"/>
      <c r="D12" s="24"/>
      <c r="E12" s="47"/>
      <c r="F12" s="28"/>
      <c r="G12" s="25"/>
      <c r="H12" s="108"/>
      <c r="I12" s="109"/>
      <c r="J12" s="107"/>
      <c r="K12" s="24"/>
      <c r="L12" s="105"/>
      <c r="M12" s="28"/>
      <c r="N12" s="25"/>
      <c r="O12" s="18"/>
      <c r="P12" s="23"/>
      <c r="Q12" s="16"/>
      <c r="R12" s="24"/>
      <c r="S12" s="18"/>
      <c r="T12" s="28"/>
      <c r="U12" s="25"/>
      <c r="V12" s="18"/>
      <c r="W12" s="23"/>
      <c r="X12" s="16"/>
      <c r="Y12" s="24"/>
      <c r="Z12" s="18"/>
      <c r="AA12" s="28"/>
      <c r="AB12" s="25"/>
      <c r="AC12" s="18"/>
      <c r="AD12" s="23"/>
      <c r="AE12" s="16"/>
      <c r="AF12" s="24"/>
      <c r="AG12" s="18"/>
      <c r="AH12" s="28"/>
      <c r="AI12" s="25"/>
      <c r="AJ12" s="18"/>
      <c r="AK12" s="23">
        <v>100000</v>
      </c>
      <c r="AL12" s="16">
        <v>77926.22</v>
      </c>
      <c r="AM12" s="24">
        <f t="shared" si="10"/>
        <v>-22073.78</v>
      </c>
      <c r="AN12" s="126">
        <f t="shared" si="33"/>
        <v>0.77926220000000002</v>
      </c>
      <c r="AO12" s="132">
        <v>96150.06</v>
      </c>
      <c r="AP12" s="131">
        <f t="shared" si="11"/>
        <v>-3849.9400000000023</v>
      </c>
      <c r="AQ12" s="126">
        <f t="shared" si="34"/>
        <v>0.96150059999999993</v>
      </c>
      <c r="AR12" s="23">
        <v>150000</v>
      </c>
      <c r="AS12" s="16">
        <v>19318.25</v>
      </c>
      <c r="AT12" s="24">
        <f t="shared" si="12"/>
        <v>-130681.75</v>
      </c>
      <c r="AU12" s="18">
        <f t="shared" si="35"/>
        <v>0.12878833333333334</v>
      </c>
      <c r="AV12" s="132"/>
      <c r="AW12" s="131">
        <f t="shared" si="13"/>
        <v>-150000</v>
      </c>
      <c r="AX12" s="18">
        <f t="shared" si="36"/>
        <v>0</v>
      </c>
      <c r="AY12" s="23">
        <v>200000</v>
      </c>
      <c r="AZ12" s="16"/>
      <c r="BA12" s="24">
        <f t="shared" si="14"/>
        <v>-200000</v>
      </c>
      <c r="BB12" s="18">
        <f t="shared" si="37"/>
        <v>0</v>
      </c>
      <c r="BC12" s="132"/>
      <c r="BD12" s="131">
        <f t="shared" si="15"/>
        <v>-200000</v>
      </c>
      <c r="BE12" s="18">
        <f t="shared" si="38"/>
        <v>0</v>
      </c>
      <c r="BF12" s="23">
        <f t="shared" si="16"/>
        <v>450000</v>
      </c>
      <c r="BG12" s="23">
        <f t="shared" si="17"/>
        <v>97244.47</v>
      </c>
      <c r="BH12" s="24">
        <f t="shared" si="18"/>
        <v>-352755.53</v>
      </c>
      <c r="BI12" s="18">
        <f t="shared" si="39"/>
        <v>0.21609882222222224</v>
      </c>
      <c r="BJ12" s="16">
        <f t="shared" si="19"/>
        <v>96150.06</v>
      </c>
      <c r="BK12" s="25">
        <f t="shared" si="20"/>
        <v>-353849.94</v>
      </c>
      <c r="BL12" s="18">
        <f t="shared" si="40"/>
        <v>0.21366679999999999</v>
      </c>
      <c r="BM12" s="16">
        <f t="shared" si="21"/>
        <v>12155.55875</v>
      </c>
      <c r="BN12" s="26">
        <f t="shared" si="22"/>
        <v>12018.7575</v>
      </c>
    </row>
    <row r="13" spans="1:66" x14ac:dyDescent="0.3">
      <c r="A13" s="22" t="s">
        <v>16</v>
      </c>
      <c r="B13" s="23">
        <v>1338750</v>
      </c>
      <c r="C13" s="16"/>
      <c r="D13" s="24">
        <f t="shared" si="0"/>
        <v>-1338750</v>
      </c>
      <c r="E13" s="18">
        <f t="shared" si="23"/>
        <v>0</v>
      </c>
      <c r="F13" s="28"/>
      <c r="G13" s="25">
        <f t="shared" si="1"/>
        <v>-1338750</v>
      </c>
      <c r="H13" s="18">
        <f t="shared" si="24"/>
        <v>0</v>
      </c>
      <c r="I13" s="23">
        <v>1338750</v>
      </c>
      <c r="J13" s="16">
        <v>8745.0499999999993</v>
      </c>
      <c r="K13" s="24">
        <f t="shared" si="2"/>
        <v>-1330004.95</v>
      </c>
      <c r="L13" s="18">
        <f t="shared" si="25"/>
        <v>6.5322502334267032E-3</v>
      </c>
      <c r="M13" s="28">
        <v>11537.74</v>
      </c>
      <c r="N13" s="25">
        <f t="shared" si="3"/>
        <v>-1327212.26</v>
      </c>
      <c r="O13" s="18">
        <f t="shared" si="26"/>
        <v>8.6182931839402423E-3</v>
      </c>
      <c r="P13" s="23">
        <v>1338750</v>
      </c>
      <c r="Q13" s="16">
        <v>120604.3</v>
      </c>
      <c r="R13" s="24">
        <f t="shared" si="4"/>
        <v>-1218145.7</v>
      </c>
      <c r="S13" s="18">
        <f t="shared" si="27"/>
        <v>9.0087245564892629E-2</v>
      </c>
      <c r="T13" s="28">
        <v>89914.14</v>
      </c>
      <c r="U13" s="25">
        <f t="shared" si="5"/>
        <v>-1248835.8600000001</v>
      </c>
      <c r="V13" s="18">
        <f t="shared" si="28"/>
        <v>6.7162756302521012E-2</v>
      </c>
      <c r="W13" s="23">
        <v>1338750</v>
      </c>
      <c r="X13" s="16">
        <v>51094.76</v>
      </c>
      <c r="Y13" s="24">
        <f t="shared" si="6"/>
        <v>-1287655.24</v>
      </c>
      <c r="Z13" s="18">
        <f t="shared" si="29"/>
        <v>3.8166020541549953E-2</v>
      </c>
      <c r="AA13" s="28"/>
      <c r="AB13" s="25">
        <f t="shared" si="7"/>
        <v>-1338750</v>
      </c>
      <c r="AC13" s="18">
        <f t="shared" si="30"/>
        <v>0</v>
      </c>
      <c r="AD13" s="23">
        <v>1338750</v>
      </c>
      <c r="AE13" s="16">
        <v>46220.78</v>
      </c>
      <c r="AF13" s="24">
        <f t="shared" si="8"/>
        <v>-1292529.22</v>
      </c>
      <c r="AG13" s="18">
        <f t="shared" si="31"/>
        <v>3.4525325863678805E-2</v>
      </c>
      <c r="AH13" s="28">
        <v>214363.17</v>
      </c>
      <c r="AI13" s="25">
        <f t="shared" si="9"/>
        <v>-1124386.83</v>
      </c>
      <c r="AJ13" s="18">
        <f t="shared" si="32"/>
        <v>0.1601218823529412</v>
      </c>
      <c r="AK13" s="23">
        <v>1338750</v>
      </c>
      <c r="AL13" s="16">
        <v>143506.5</v>
      </c>
      <c r="AM13" s="24">
        <f t="shared" si="10"/>
        <v>-1195243.5</v>
      </c>
      <c r="AN13" s="126">
        <f t="shared" si="33"/>
        <v>0.10719439775910364</v>
      </c>
      <c r="AO13" s="132">
        <v>111180.83</v>
      </c>
      <c r="AP13" s="131">
        <f t="shared" si="11"/>
        <v>-1227569.17</v>
      </c>
      <c r="AQ13" s="126">
        <f t="shared" si="34"/>
        <v>8.3048239028944912E-2</v>
      </c>
      <c r="AR13" s="23">
        <v>1338750</v>
      </c>
      <c r="AS13" s="16">
        <v>218278.76</v>
      </c>
      <c r="AT13" s="24">
        <f t="shared" si="12"/>
        <v>-1120471.24</v>
      </c>
      <c r="AU13" s="18">
        <f t="shared" si="35"/>
        <v>0.16304669281045753</v>
      </c>
      <c r="AV13" s="132">
        <v>22367.5</v>
      </c>
      <c r="AW13" s="131">
        <f t="shared" si="13"/>
        <v>-1316382.5</v>
      </c>
      <c r="AX13" s="18">
        <f t="shared" si="36"/>
        <v>1.6707749766573295E-2</v>
      </c>
      <c r="AY13" s="23">
        <v>1338750</v>
      </c>
      <c r="AZ13" s="16"/>
      <c r="BA13" s="24">
        <f t="shared" si="14"/>
        <v>-1338750</v>
      </c>
      <c r="BB13" s="18">
        <f t="shared" si="37"/>
        <v>0</v>
      </c>
      <c r="BC13" s="132">
        <v>14323.55</v>
      </c>
      <c r="BD13" s="131">
        <f t="shared" si="15"/>
        <v>-1324426.45</v>
      </c>
      <c r="BE13" s="18">
        <f t="shared" si="38"/>
        <v>1.0699197012138189E-2</v>
      </c>
      <c r="BF13" s="23">
        <f t="shared" si="16"/>
        <v>10710000</v>
      </c>
      <c r="BG13" s="23">
        <f t="shared" si="17"/>
        <v>588450.15</v>
      </c>
      <c r="BH13" s="24">
        <f t="shared" si="18"/>
        <v>-10121549.85</v>
      </c>
      <c r="BI13" s="18">
        <f t="shared" si="39"/>
        <v>5.494399159663866E-2</v>
      </c>
      <c r="BJ13" s="16">
        <f t="shared" si="19"/>
        <v>463686.93000000005</v>
      </c>
      <c r="BK13" s="25">
        <f t="shared" si="20"/>
        <v>-10246313.07</v>
      </c>
      <c r="BL13" s="18">
        <f t="shared" si="40"/>
        <v>4.3294764705882359E-2</v>
      </c>
      <c r="BM13" s="16">
        <f t="shared" si="21"/>
        <v>73556.268750000003</v>
      </c>
      <c r="BN13" s="26">
        <f t="shared" si="22"/>
        <v>57960.866250000006</v>
      </c>
    </row>
    <row r="14" spans="1:66" x14ac:dyDescent="0.3">
      <c r="A14" s="22" t="s">
        <v>17</v>
      </c>
      <c r="B14" s="23"/>
      <c r="C14" s="16">
        <v>87046.92</v>
      </c>
      <c r="D14" s="24">
        <f t="shared" si="0"/>
        <v>87046.92</v>
      </c>
      <c r="E14" s="18"/>
      <c r="F14" s="28"/>
      <c r="G14" s="25">
        <f>+F14-B14</f>
        <v>0</v>
      </c>
      <c r="H14" s="18"/>
      <c r="I14" s="23"/>
      <c r="J14" s="16">
        <v>115746.49</v>
      </c>
      <c r="K14" s="24">
        <f t="shared" si="2"/>
        <v>115746.49</v>
      </c>
      <c r="L14" s="18"/>
      <c r="M14" s="28"/>
      <c r="N14" s="25">
        <f>+M14-I14</f>
        <v>0</v>
      </c>
      <c r="O14" s="18"/>
      <c r="P14" s="23"/>
      <c r="Q14" s="16">
        <v>91092.4</v>
      </c>
      <c r="R14" s="24">
        <f t="shared" si="4"/>
        <v>91092.4</v>
      </c>
      <c r="S14" s="18"/>
      <c r="T14" s="28"/>
      <c r="U14" s="25">
        <f>+T14-P14</f>
        <v>0</v>
      </c>
      <c r="V14" s="18"/>
      <c r="W14" s="23"/>
      <c r="X14" s="16"/>
      <c r="Y14" s="24">
        <f t="shared" si="6"/>
        <v>0</v>
      </c>
      <c r="Z14" s="18"/>
      <c r="AA14" s="28"/>
      <c r="AB14" s="25">
        <f>+AA14-W14</f>
        <v>0</v>
      </c>
      <c r="AC14" s="18"/>
      <c r="AD14" s="23"/>
      <c r="AE14" s="16">
        <v>0</v>
      </c>
      <c r="AF14" s="24">
        <f t="shared" si="8"/>
        <v>0</v>
      </c>
      <c r="AG14" s="18"/>
      <c r="AH14" s="28"/>
      <c r="AI14" s="25">
        <f>+AH14-AD14</f>
        <v>0</v>
      </c>
      <c r="AJ14" s="18"/>
      <c r="AK14" s="23"/>
      <c r="AL14" s="16">
        <v>1358.5</v>
      </c>
      <c r="AM14" s="24">
        <f t="shared" si="10"/>
        <v>1358.5</v>
      </c>
      <c r="AN14" s="126"/>
      <c r="AO14" s="132"/>
      <c r="AP14" s="131">
        <f>+AO14-AK14</f>
        <v>0</v>
      </c>
      <c r="AQ14" s="126"/>
      <c r="AR14" s="23"/>
      <c r="AS14" s="16"/>
      <c r="AT14" s="24">
        <f t="shared" si="12"/>
        <v>0</v>
      </c>
      <c r="AU14" s="18"/>
      <c r="AV14" s="132"/>
      <c r="AW14" s="131">
        <f>+AV14-AR14</f>
        <v>0</v>
      </c>
      <c r="AX14" s="18"/>
      <c r="AY14" s="23"/>
      <c r="AZ14" s="16"/>
      <c r="BA14" s="24">
        <f t="shared" si="14"/>
        <v>0</v>
      </c>
      <c r="BB14" s="18"/>
      <c r="BC14" s="132"/>
      <c r="BD14" s="131">
        <f>+BC14-AY14</f>
        <v>0</v>
      </c>
      <c r="BE14" s="18"/>
      <c r="BF14" s="23">
        <f t="shared" si="16"/>
        <v>0</v>
      </c>
      <c r="BG14" s="23">
        <f t="shared" si="17"/>
        <v>295244.31</v>
      </c>
      <c r="BH14" s="24">
        <f t="shared" si="18"/>
        <v>295244.31</v>
      </c>
      <c r="BI14" s="18"/>
      <c r="BJ14" s="16">
        <f>+F14+M14+T14+AA14+AH14+AO14+AV14+BC14</f>
        <v>0</v>
      </c>
      <c r="BK14" s="25">
        <f t="shared" si="20"/>
        <v>0</v>
      </c>
      <c r="BL14" s="18"/>
      <c r="BM14" s="16">
        <f t="shared" si="21"/>
        <v>36905.53875</v>
      </c>
      <c r="BN14" s="26">
        <f t="shared" si="22"/>
        <v>0</v>
      </c>
    </row>
    <row r="15" spans="1:66" x14ac:dyDescent="0.3">
      <c r="A15" s="22" t="s">
        <v>18</v>
      </c>
      <c r="B15" s="23">
        <v>1338750</v>
      </c>
      <c r="C15" s="16">
        <v>61312.93</v>
      </c>
      <c r="D15" s="24">
        <f t="shared" si="0"/>
        <v>-1277437.07</v>
      </c>
      <c r="E15" s="18">
        <f t="shared" ref="E15:E19" si="41">+C15/B15</f>
        <v>4.5798640522875821E-2</v>
      </c>
      <c r="F15" s="28">
        <v>100067.31</v>
      </c>
      <c r="G15" s="25">
        <f t="shared" si="1"/>
        <v>-1238682.69</v>
      </c>
      <c r="H15" s="18">
        <f t="shared" si="24"/>
        <v>7.4746823529411768E-2</v>
      </c>
      <c r="I15" s="23">
        <v>1338750</v>
      </c>
      <c r="J15" s="16">
        <v>198933.59</v>
      </c>
      <c r="K15" s="24">
        <f t="shared" si="2"/>
        <v>-1139816.4099999999</v>
      </c>
      <c r="L15" s="18">
        <f t="shared" ref="L15:L19" si="42">+J15/I15</f>
        <v>0.14859651914098973</v>
      </c>
      <c r="M15" s="28">
        <v>70010.070000000007</v>
      </c>
      <c r="N15" s="25">
        <f t="shared" ref="N15:N19" si="43">+M15-I15</f>
        <v>-1268739.93</v>
      </c>
      <c r="O15" s="18">
        <f t="shared" ref="O15:O19" si="44">+M15/I15</f>
        <v>5.2295103641456585E-2</v>
      </c>
      <c r="P15" s="23">
        <v>1338750</v>
      </c>
      <c r="Q15" s="16">
        <v>292575.34999999998</v>
      </c>
      <c r="R15" s="24">
        <f t="shared" si="4"/>
        <v>-1046174.65</v>
      </c>
      <c r="S15" s="18">
        <f t="shared" ref="S15:S19" si="45">+Q15/P15</f>
        <v>0.21854367880485526</v>
      </c>
      <c r="T15" s="28">
        <v>315180.46999999997</v>
      </c>
      <c r="U15" s="25">
        <f t="shared" ref="U15:U19" si="46">+T15-P15</f>
        <v>-1023569.53</v>
      </c>
      <c r="V15" s="18">
        <f t="shared" ref="V15:V19" si="47">+T15/P15</f>
        <v>0.23542892250233424</v>
      </c>
      <c r="W15" s="23">
        <v>1338750</v>
      </c>
      <c r="X15" s="16">
        <v>573857.67000000004</v>
      </c>
      <c r="Y15" s="24">
        <f t="shared" si="6"/>
        <v>-764892.33</v>
      </c>
      <c r="Z15" s="18">
        <f t="shared" ref="Z15" si="48">+X15/W15</f>
        <v>0.42865185434173675</v>
      </c>
      <c r="AA15" s="28">
        <v>274355.09000000003</v>
      </c>
      <c r="AB15" s="25">
        <f t="shared" ref="AB15:AB19" si="49">+AA15-W15</f>
        <v>-1064394.9099999999</v>
      </c>
      <c r="AC15" s="18">
        <f t="shared" ref="AC15" si="50">+AA15/W15</f>
        <v>0.20493377404295055</v>
      </c>
      <c r="AD15" s="23">
        <v>1338750</v>
      </c>
      <c r="AE15" s="16">
        <v>488350.75</v>
      </c>
      <c r="AF15" s="24">
        <f t="shared" si="8"/>
        <v>-850399.25</v>
      </c>
      <c r="AG15" s="18">
        <f t="shared" ref="AG15" si="51">+AE15/AD15</f>
        <v>0.36478113912231558</v>
      </c>
      <c r="AH15" s="28">
        <v>1315353</v>
      </c>
      <c r="AI15" s="25">
        <f t="shared" ref="AI15:AI19" si="52">+AH15-AD15</f>
        <v>-23397</v>
      </c>
      <c r="AJ15" s="18">
        <f t="shared" ref="AJ15" si="53">+AH15/AD15</f>
        <v>0.9825232492997199</v>
      </c>
      <c r="AK15" s="23">
        <v>1338750</v>
      </c>
      <c r="AL15" s="16">
        <v>1840443.58</v>
      </c>
      <c r="AM15" s="24">
        <f t="shared" si="10"/>
        <v>501693.58000000007</v>
      </c>
      <c r="AN15" s="47">
        <f t="shared" ref="AN15" si="54">+AL15/AK15</f>
        <v>1.374747772175537</v>
      </c>
      <c r="AO15" s="132">
        <v>2176517.37</v>
      </c>
      <c r="AP15" s="131">
        <f t="shared" ref="AP15:AP19" si="55">+AO15-AK15</f>
        <v>837767.37000000011</v>
      </c>
      <c r="AQ15" s="47">
        <f t="shared" ref="AQ15" si="56">+AO15/AK15</f>
        <v>1.6257832829131653</v>
      </c>
      <c r="AR15" s="23">
        <v>1338750</v>
      </c>
      <c r="AS15" s="16">
        <v>940159.19</v>
      </c>
      <c r="AT15" s="24">
        <f t="shared" si="12"/>
        <v>-398590.81000000006</v>
      </c>
      <c r="AU15" s="18">
        <f t="shared" ref="AU15" si="57">+AS15/AR15</f>
        <v>0.7022664351073763</v>
      </c>
      <c r="AV15" s="132">
        <v>876611.35</v>
      </c>
      <c r="AW15" s="131">
        <f t="shared" ref="AW15:AW19" si="58">+AV15-AR15</f>
        <v>-462138.65</v>
      </c>
      <c r="AX15" s="18">
        <f t="shared" ref="AX15" si="59">+AV15/AR15</f>
        <v>0.65479839402427631</v>
      </c>
      <c r="AY15" s="23">
        <v>1338750</v>
      </c>
      <c r="AZ15" s="16">
        <v>1346687.84</v>
      </c>
      <c r="BA15" s="24">
        <f t="shared" si="14"/>
        <v>7937.8400000000838</v>
      </c>
      <c r="BB15" s="47">
        <f t="shared" ref="BB15" si="60">+AZ15/AY15</f>
        <v>1.0059292922502334</v>
      </c>
      <c r="BC15" s="132">
        <v>1369594.22</v>
      </c>
      <c r="BD15" s="131">
        <f t="shared" ref="BD15:BD19" si="61">+BC15-AY15</f>
        <v>30844.219999999972</v>
      </c>
      <c r="BE15" s="47">
        <f t="shared" ref="BE15" si="62">+BC15/AY15</f>
        <v>1.0230395667600374</v>
      </c>
      <c r="BF15" s="23">
        <f t="shared" si="16"/>
        <v>10710000</v>
      </c>
      <c r="BG15" s="23">
        <f t="shared" si="17"/>
        <v>5742320.9000000004</v>
      </c>
      <c r="BH15" s="24">
        <f t="shared" si="18"/>
        <v>-4967679.0999999996</v>
      </c>
      <c r="BI15" s="18">
        <f t="shared" si="39"/>
        <v>0.53616441643323998</v>
      </c>
      <c r="BJ15" s="16">
        <f t="shared" si="19"/>
        <v>6497688.8799999999</v>
      </c>
      <c r="BK15" s="25">
        <f t="shared" si="20"/>
        <v>-4212311.12</v>
      </c>
      <c r="BL15" s="18">
        <f t="shared" si="40"/>
        <v>0.606693639589169</v>
      </c>
      <c r="BM15" s="16">
        <f t="shared" si="21"/>
        <v>717790.11250000005</v>
      </c>
      <c r="BN15" s="26">
        <f t="shared" si="22"/>
        <v>812211.11</v>
      </c>
    </row>
    <row r="16" spans="1:66" x14ac:dyDescent="0.3">
      <c r="A16" s="153" t="s">
        <v>19</v>
      </c>
      <c r="B16" s="23">
        <v>400000</v>
      </c>
      <c r="C16" s="16">
        <v>29901.71</v>
      </c>
      <c r="D16" s="24">
        <f t="shared" si="0"/>
        <v>-370098.29</v>
      </c>
      <c r="E16" s="18">
        <f t="shared" si="41"/>
        <v>7.4754274999999995E-2</v>
      </c>
      <c r="F16" s="28">
        <v>24830.18</v>
      </c>
      <c r="G16" s="25">
        <f t="shared" si="1"/>
        <v>-375169.82</v>
      </c>
      <c r="H16" s="18">
        <f t="shared" si="24"/>
        <v>6.2075449999999997E-2</v>
      </c>
      <c r="I16" s="23">
        <v>450000</v>
      </c>
      <c r="J16" s="16">
        <v>17492.240000000002</v>
      </c>
      <c r="K16" s="24">
        <f t="shared" si="2"/>
        <v>-432507.76</v>
      </c>
      <c r="L16" s="18">
        <f t="shared" si="42"/>
        <v>3.887164444444445E-2</v>
      </c>
      <c r="M16" s="28">
        <v>17490.080000000002</v>
      </c>
      <c r="N16" s="25">
        <f t="shared" si="43"/>
        <v>-432509.92</v>
      </c>
      <c r="O16" s="18">
        <f t="shared" si="44"/>
        <v>3.8866844444444451E-2</v>
      </c>
      <c r="P16" s="23"/>
      <c r="Q16" s="16"/>
      <c r="R16" s="24">
        <f t="shared" si="4"/>
        <v>0</v>
      </c>
      <c r="S16" s="18"/>
      <c r="T16" s="28"/>
      <c r="U16" s="25">
        <f t="shared" si="46"/>
        <v>0</v>
      </c>
      <c r="V16" s="18"/>
      <c r="W16" s="23"/>
      <c r="X16" s="16"/>
      <c r="Y16" s="24">
        <f t="shared" si="6"/>
        <v>0</v>
      </c>
      <c r="Z16" s="18"/>
      <c r="AA16" s="28"/>
      <c r="AB16" s="25">
        <f t="shared" si="49"/>
        <v>0</v>
      </c>
      <c r="AC16" s="18"/>
      <c r="AD16" s="23"/>
      <c r="AE16" s="16"/>
      <c r="AF16" s="24">
        <f t="shared" si="8"/>
        <v>0</v>
      </c>
      <c r="AG16" s="18"/>
      <c r="AH16" s="28"/>
      <c r="AI16" s="25">
        <f t="shared" si="52"/>
        <v>0</v>
      </c>
      <c r="AJ16" s="18"/>
      <c r="AK16" s="23"/>
      <c r="AL16" s="16"/>
      <c r="AM16" s="24">
        <f t="shared" si="10"/>
        <v>0</v>
      </c>
      <c r="AN16" s="126"/>
      <c r="AO16" s="132"/>
      <c r="AP16" s="131">
        <f t="shared" si="55"/>
        <v>0</v>
      </c>
      <c r="AQ16" s="126"/>
      <c r="AR16" s="23"/>
      <c r="AS16" s="16"/>
      <c r="AT16" s="24">
        <f t="shared" si="12"/>
        <v>0</v>
      </c>
      <c r="AU16" s="18"/>
      <c r="AV16" s="132"/>
      <c r="AW16" s="131">
        <f t="shared" si="58"/>
        <v>0</v>
      </c>
      <c r="AX16" s="18"/>
      <c r="AY16" s="23"/>
      <c r="AZ16" s="16"/>
      <c r="BA16" s="24">
        <f t="shared" si="14"/>
        <v>0</v>
      </c>
      <c r="BB16" s="18"/>
      <c r="BC16" s="132"/>
      <c r="BD16" s="131">
        <f t="shared" si="61"/>
        <v>0</v>
      </c>
      <c r="BE16" s="18"/>
      <c r="BF16" s="23">
        <f t="shared" si="16"/>
        <v>850000</v>
      </c>
      <c r="BG16" s="23">
        <f t="shared" si="17"/>
        <v>47393.95</v>
      </c>
      <c r="BH16" s="24">
        <f t="shared" si="18"/>
        <v>-802606.05</v>
      </c>
      <c r="BI16" s="18">
        <f t="shared" si="39"/>
        <v>5.5757588235294114E-2</v>
      </c>
      <c r="BJ16" s="16">
        <f t="shared" si="19"/>
        <v>42320.26</v>
      </c>
      <c r="BK16" s="25">
        <f t="shared" si="20"/>
        <v>-807679.74</v>
      </c>
      <c r="BL16" s="18">
        <f t="shared" si="40"/>
        <v>4.9788541176470594E-2</v>
      </c>
      <c r="BM16" s="16">
        <f t="shared" si="21"/>
        <v>5924.2437499999996</v>
      </c>
      <c r="BN16" s="26">
        <f t="shared" si="22"/>
        <v>5290.0325000000003</v>
      </c>
    </row>
    <row r="17" spans="1:66" x14ac:dyDescent="0.3">
      <c r="A17" s="22" t="s">
        <v>20</v>
      </c>
      <c r="B17" s="23">
        <v>1338750</v>
      </c>
      <c r="C17" s="16">
        <v>110791.25</v>
      </c>
      <c r="D17" s="24">
        <f t="shared" si="0"/>
        <v>-1227958.75</v>
      </c>
      <c r="E17" s="18">
        <f t="shared" si="41"/>
        <v>8.2757236227824466E-2</v>
      </c>
      <c r="F17" s="28">
        <v>136979.66</v>
      </c>
      <c r="G17" s="25">
        <f t="shared" si="1"/>
        <v>-1201770.3400000001</v>
      </c>
      <c r="H17" s="18">
        <f t="shared" si="24"/>
        <v>0.10231907376283847</v>
      </c>
      <c r="I17" s="23">
        <v>1338750</v>
      </c>
      <c r="J17" s="16">
        <v>78051.38</v>
      </c>
      <c r="K17" s="24">
        <f t="shared" si="2"/>
        <v>-1260698.6200000001</v>
      </c>
      <c r="L17" s="18">
        <f t="shared" si="42"/>
        <v>5.8301684407096176E-2</v>
      </c>
      <c r="M17" s="28">
        <v>40912.379999999997</v>
      </c>
      <c r="N17" s="25">
        <f t="shared" si="43"/>
        <v>-1297837.6200000001</v>
      </c>
      <c r="O17" s="18">
        <f t="shared" si="44"/>
        <v>3.0560134453781512E-2</v>
      </c>
      <c r="P17" s="23">
        <v>1338750</v>
      </c>
      <c r="Q17" s="16">
        <v>506672.98</v>
      </c>
      <c r="R17" s="24">
        <f t="shared" si="4"/>
        <v>-832077.02</v>
      </c>
      <c r="S17" s="18">
        <f t="shared" si="45"/>
        <v>0.37846721195144722</v>
      </c>
      <c r="T17" s="28">
        <v>952568.93</v>
      </c>
      <c r="U17" s="25">
        <f t="shared" si="46"/>
        <v>-386181.06999999995</v>
      </c>
      <c r="V17" s="18">
        <f t="shared" si="47"/>
        <v>0.7115360821661999</v>
      </c>
      <c r="W17" s="23">
        <v>1338750</v>
      </c>
      <c r="X17" s="16">
        <v>1183557.54</v>
      </c>
      <c r="Y17" s="24">
        <f t="shared" si="6"/>
        <v>-155192.45999999996</v>
      </c>
      <c r="Z17" s="18">
        <f t="shared" ref="Z17:Z19" si="63">+X17/W17</f>
        <v>0.88407659383753501</v>
      </c>
      <c r="AA17" s="28">
        <v>1644577.69</v>
      </c>
      <c r="AB17" s="25">
        <f t="shared" si="49"/>
        <v>305827.68999999994</v>
      </c>
      <c r="AC17" s="47">
        <f t="shared" ref="AC17:AC19" si="64">+AA17/W17</f>
        <v>1.2284427189542484</v>
      </c>
      <c r="AD17" s="23">
        <v>1338750</v>
      </c>
      <c r="AE17" s="16">
        <v>108786.81</v>
      </c>
      <c r="AF17" s="24">
        <f t="shared" si="8"/>
        <v>-1229963.19</v>
      </c>
      <c r="AG17" s="18">
        <f t="shared" ref="AG17:AG19" si="65">+AE17/AD17</f>
        <v>8.1259988795518212E-2</v>
      </c>
      <c r="AH17" s="28">
        <v>140161.89000000001</v>
      </c>
      <c r="AI17" s="25">
        <f t="shared" si="52"/>
        <v>-1198588.1099999999</v>
      </c>
      <c r="AJ17" s="18">
        <f t="shared" ref="AJ17:AJ19" si="66">+AH17/AD17</f>
        <v>0.10469608963585435</v>
      </c>
      <c r="AK17" s="23">
        <v>1338750</v>
      </c>
      <c r="AL17" s="16">
        <v>74020.34</v>
      </c>
      <c r="AM17" s="24">
        <f t="shared" si="10"/>
        <v>-1264729.6599999999</v>
      </c>
      <c r="AN17" s="126">
        <f t="shared" ref="AN17:AN19" si="67">+AL17/AK17</f>
        <v>5.5290636788048547E-2</v>
      </c>
      <c r="AO17" s="132">
        <v>146005.68</v>
      </c>
      <c r="AP17" s="131">
        <f t="shared" si="55"/>
        <v>-1192744.32</v>
      </c>
      <c r="AQ17" s="126">
        <f t="shared" ref="AQ17:AQ19" si="68">+AO17/AK17</f>
        <v>0.10906119887955182</v>
      </c>
      <c r="AR17" s="23">
        <v>1338750</v>
      </c>
      <c r="AS17" s="16">
        <v>1062229.75</v>
      </c>
      <c r="AT17" s="24">
        <f t="shared" si="12"/>
        <v>-276520.25</v>
      </c>
      <c r="AU17" s="18">
        <f t="shared" ref="AU17:AU19" si="69">+AS17/AR17</f>
        <v>0.79344892623716157</v>
      </c>
      <c r="AV17" s="132">
        <v>232860.09</v>
      </c>
      <c r="AW17" s="131">
        <f t="shared" si="58"/>
        <v>-1105889.9099999999</v>
      </c>
      <c r="AX17" s="18">
        <f t="shared" ref="AX17:AX19" si="70">+AV17/AR17</f>
        <v>0.17393844257703081</v>
      </c>
      <c r="AY17" s="23">
        <v>1338750</v>
      </c>
      <c r="AZ17" s="16">
        <v>791212.14</v>
      </c>
      <c r="BA17" s="24">
        <f t="shared" si="14"/>
        <v>-547537.86</v>
      </c>
      <c r="BB17" s="18">
        <f t="shared" ref="BB17:BB19" si="71">+AZ17/AY17</f>
        <v>0.59100813445378153</v>
      </c>
      <c r="BC17" s="132">
        <v>433439.98</v>
      </c>
      <c r="BD17" s="131">
        <f t="shared" si="61"/>
        <v>-905310.02</v>
      </c>
      <c r="BE17" s="18">
        <f t="shared" ref="BE17:BE19" si="72">+BC17/AY17</f>
        <v>0.32376469094304389</v>
      </c>
      <c r="BF17" s="23">
        <f t="shared" si="16"/>
        <v>10710000</v>
      </c>
      <c r="BG17" s="23">
        <f t="shared" si="17"/>
        <v>3915322.19</v>
      </c>
      <c r="BH17" s="24">
        <f t="shared" si="18"/>
        <v>-6794677.8100000005</v>
      </c>
      <c r="BI17" s="18">
        <f t="shared" si="39"/>
        <v>0.36557630158730159</v>
      </c>
      <c r="BJ17" s="16">
        <f t="shared" si="19"/>
        <v>3727506.3000000003</v>
      </c>
      <c r="BK17" s="25">
        <f t="shared" si="20"/>
        <v>-6982493.6999999993</v>
      </c>
      <c r="BL17" s="18">
        <f t="shared" si="40"/>
        <v>0.34803980392156864</v>
      </c>
      <c r="BM17" s="16">
        <f t="shared" si="21"/>
        <v>489415.27374999999</v>
      </c>
      <c r="BN17" s="26">
        <f t="shared" si="22"/>
        <v>465938.28750000003</v>
      </c>
    </row>
    <row r="18" spans="1:66" x14ac:dyDescent="0.3">
      <c r="A18" s="22" t="s">
        <v>21</v>
      </c>
      <c r="B18" s="23">
        <v>1338750</v>
      </c>
      <c r="C18" s="16">
        <v>2188130.21</v>
      </c>
      <c r="D18" s="24">
        <f t="shared" si="0"/>
        <v>849380.21</v>
      </c>
      <c r="E18" s="47">
        <f t="shared" si="41"/>
        <v>1.6344576732026144</v>
      </c>
      <c r="F18" s="29">
        <v>388875.15</v>
      </c>
      <c r="G18" s="25">
        <f t="shared" si="1"/>
        <v>-949874.85</v>
      </c>
      <c r="H18" s="18">
        <f t="shared" si="24"/>
        <v>0.29047630252100842</v>
      </c>
      <c r="I18" s="23">
        <v>1338750</v>
      </c>
      <c r="J18" s="16">
        <v>16172227.199999999</v>
      </c>
      <c r="K18" s="24">
        <f t="shared" si="2"/>
        <v>14833477.199999999</v>
      </c>
      <c r="L18" s="47">
        <f t="shared" si="42"/>
        <v>12.080095014005602</v>
      </c>
      <c r="M18" s="29">
        <v>5659626.5</v>
      </c>
      <c r="N18" s="25">
        <f t="shared" si="43"/>
        <v>4320876.5</v>
      </c>
      <c r="O18" s="47">
        <f t="shared" si="44"/>
        <v>4.2275454715219425</v>
      </c>
      <c r="P18" s="23">
        <v>1338750</v>
      </c>
      <c r="Q18" s="16">
        <v>5101264.1900000004</v>
      </c>
      <c r="R18" s="24">
        <f t="shared" si="4"/>
        <v>3762514.1900000004</v>
      </c>
      <c r="S18" s="47">
        <f t="shared" si="45"/>
        <v>3.8104681157796456</v>
      </c>
      <c r="T18" s="28">
        <v>1892875.05</v>
      </c>
      <c r="U18" s="25">
        <f t="shared" si="46"/>
        <v>554125.05000000005</v>
      </c>
      <c r="V18" s="47">
        <f t="shared" si="47"/>
        <v>1.4139122689075632</v>
      </c>
      <c r="W18" s="23">
        <v>1338750</v>
      </c>
      <c r="X18" s="16">
        <v>2461509.7799999998</v>
      </c>
      <c r="Y18" s="24">
        <f t="shared" si="6"/>
        <v>1122759.7799999998</v>
      </c>
      <c r="Z18" s="47">
        <f t="shared" si="63"/>
        <v>1.8386627675070026</v>
      </c>
      <c r="AA18" s="29">
        <v>3085661.51</v>
      </c>
      <c r="AB18" s="25">
        <f t="shared" si="49"/>
        <v>1746911.5099999998</v>
      </c>
      <c r="AC18" s="47">
        <f t="shared" si="64"/>
        <v>2.3048825471521939</v>
      </c>
      <c r="AD18" s="23">
        <v>1338750</v>
      </c>
      <c r="AE18" s="16">
        <v>1320118.92</v>
      </c>
      <c r="AF18" s="24">
        <f t="shared" si="8"/>
        <v>-18631.080000000075</v>
      </c>
      <c r="AG18" s="18">
        <f t="shared" si="65"/>
        <v>0.98608322689075623</v>
      </c>
      <c r="AH18" s="29">
        <v>3752930.45</v>
      </c>
      <c r="AI18" s="25">
        <f t="shared" si="52"/>
        <v>2414180.4500000002</v>
      </c>
      <c r="AJ18" s="47">
        <f t="shared" si="66"/>
        <v>2.8033093930905695</v>
      </c>
      <c r="AK18" s="23">
        <v>1338750</v>
      </c>
      <c r="AL18" s="16">
        <v>5457058.8799999999</v>
      </c>
      <c r="AM18" s="24">
        <f t="shared" si="10"/>
        <v>4118308.88</v>
      </c>
      <c r="AN18" s="47">
        <f t="shared" si="67"/>
        <v>4.0762344575163398</v>
      </c>
      <c r="AO18" s="130">
        <v>1054013.69</v>
      </c>
      <c r="AP18" s="131">
        <f t="shared" si="55"/>
        <v>-284736.31000000006</v>
      </c>
      <c r="AQ18" s="126">
        <f t="shared" si="68"/>
        <v>0.78731181325863675</v>
      </c>
      <c r="AR18" s="23">
        <v>1338750</v>
      </c>
      <c r="AS18" s="16">
        <v>1212046.08</v>
      </c>
      <c r="AT18" s="24">
        <f t="shared" si="12"/>
        <v>-126703.91999999993</v>
      </c>
      <c r="AU18" s="18">
        <f t="shared" si="69"/>
        <v>0.90535654901960794</v>
      </c>
      <c r="AV18" s="130">
        <v>661231.25</v>
      </c>
      <c r="AW18" s="131">
        <f t="shared" si="58"/>
        <v>-677518.75</v>
      </c>
      <c r="AX18" s="18">
        <f t="shared" si="70"/>
        <v>0.49391690009337069</v>
      </c>
      <c r="AY18" s="23">
        <v>1338750</v>
      </c>
      <c r="AZ18" s="16">
        <v>4196685.1900000004</v>
      </c>
      <c r="BA18" s="24">
        <f t="shared" si="14"/>
        <v>2857935.1900000004</v>
      </c>
      <c r="BB18" s="47">
        <f t="shared" si="71"/>
        <v>3.1347788534080303</v>
      </c>
      <c r="BC18" s="130">
        <v>500892.89</v>
      </c>
      <c r="BD18" s="131">
        <f t="shared" si="61"/>
        <v>-837857.11</v>
      </c>
      <c r="BE18" s="18">
        <f t="shared" si="72"/>
        <v>0.37414968440709617</v>
      </c>
      <c r="BF18" s="23">
        <f t="shared" si="16"/>
        <v>10710000</v>
      </c>
      <c r="BG18" s="23">
        <f t="shared" si="17"/>
        <v>38109040.450000003</v>
      </c>
      <c r="BH18" s="24">
        <f t="shared" si="18"/>
        <v>27399040.450000003</v>
      </c>
      <c r="BI18" s="47">
        <f t="shared" si="39"/>
        <v>3.5582670821661999</v>
      </c>
      <c r="BJ18" s="16">
        <f t="shared" si="19"/>
        <v>16996106.489999998</v>
      </c>
      <c r="BK18" s="25">
        <f t="shared" si="20"/>
        <v>6286106.4899999984</v>
      </c>
      <c r="BL18" s="47">
        <f t="shared" si="40"/>
        <v>1.5869380476190476</v>
      </c>
      <c r="BM18" s="16">
        <f t="shared" si="21"/>
        <v>4763630.0562500004</v>
      </c>
      <c r="BN18" s="26">
        <f t="shared" si="22"/>
        <v>2124513.3112499998</v>
      </c>
    </row>
    <row r="19" spans="1:66" x14ac:dyDescent="0.3">
      <c r="A19" s="22" t="s">
        <v>22</v>
      </c>
      <c r="B19" s="23">
        <v>500000</v>
      </c>
      <c r="C19" s="16">
        <v>552980.43000000005</v>
      </c>
      <c r="D19" s="24">
        <f t="shared" si="0"/>
        <v>52980.430000000051</v>
      </c>
      <c r="E19" s="47">
        <f t="shared" si="41"/>
        <v>1.1059608600000002</v>
      </c>
      <c r="F19" s="29">
        <v>551981.43000000005</v>
      </c>
      <c r="G19" s="25">
        <f t="shared" si="1"/>
        <v>51981.430000000051</v>
      </c>
      <c r="H19" s="47">
        <f t="shared" si="24"/>
        <v>1.1039628600000002</v>
      </c>
      <c r="I19" s="23">
        <v>550000</v>
      </c>
      <c r="J19" s="16">
        <v>1283683.3700000001</v>
      </c>
      <c r="K19" s="24">
        <f t="shared" si="2"/>
        <v>733683.37000000011</v>
      </c>
      <c r="L19" s="47">
        <f t="shared" si="42"/>
        <v>2.3339697636363637</v>
      </c>
      <c r="M19" s="29">
        <v>1508451.15</v>
      </c>
      <c r="N19" s="25">
        <f t="shared" si="43"/>
        <v>958451.14999999991</v>
      </c>
      <c r="O19" s="47">
        <f t="shared" si="44"/>
        <v>2.7426384545454545</v>
      </c>
      <c r="P19" s="23">
        <v>600000</v>
      </c>
      <c r="Q19" s="16">
        <v>884030.54</v>
      </c>
      <c r="R19" s="24">
        <f t="shared" si="4"/>
        <v>284030.54000000004</v>
      </c>
      <c r="S19" s="47">
        <f t="shared" si="45"/>
        <v>1.4733842333333333</v>
      </c>
      <c r="T19" s="29">
        <v>345604.95</v>
      </c>
      <c r="U19" s="25">
        <f t="shared" si="46"/>
        <v>-254395.05</v>
      </c>
      <c r="V19" s="18">
        <f t="shared" si="47"/>
        <v>0.57600825</v>
      </c>
      <c r="W19" s="23">
        <v>650000</v>
      </c>
      <c r="X19" s="16">
        <v>620234.69999999995</v>
      </c>
      <c r="Y19" s="24">
        <f t="shared" si="6"/>
        <v>-29765.300000000047</v>
      </c>
      <c r="Z19" s="18">
        <f t="shared" si="63"/>
        <v>0.95420723076923075</v>
      </c>
      <c r="AA19" s="29">
        <v>799583.03</v>
      </c>
      <c r="AB19" s="25">
        <f t="shared" si="49"/>
        <v>149583.03000000003</v>
      </c>
      <c r="AC19" s="47">
        <f t="shared" si="64"/>
        <v>1.2301277384615386</v>
      </c>
      <c r="AD19" s="23">
        <v>700000</v>
      </c>
      <c r="AE19" s="16">
        <v>805853.51</v>
      </c>
      <c r="AF19" s="24">
        <f t="shared" si="8"/>
        <v>105853.51000000001</v>
      </c>
      <c r="AG19" s="47">
        <f t="shared" si="65"/>
        <v>1.1512192999999999</v>
      </c>
      <c r="AH19" s="29">
        <v>600557.80000000005</v>
      </c>
      <c r="AI19" s="25">
        <f t="shared" si="52"/>
        <v>-99442.199999999953</v>
      </c>
      <c r="AJ19" s="18">
        <f t="shared" si="66"/>
        <v>0.85793971428571436</v>
      </c>
      <c r="AK19" s="23">
        <v>750000</v>
      </c>
      <c r="AL19" s="16">
        <v>577431.47</v>
      </c>
      <c r="AM19" s="24">
        <f t="shared" si="10"/>
        <v>-172568.53000000003</v>
      </c>
      <c r="AN19" s="126">
        <f t="shared" si="67"/>
        <v>0.7699086266666666</v>
      </c>
      <c r="AO19" s="130">
        <v>562600.11</v>
      </c>
      <c r="AP19" s="131">
        <f t="shared" si="55"/>
        <v>-187399.89</v>
      </c>
      <c r="AQ19" s="126">
        <f t="shared" si="68"/>
        <v>0.75013348000000002</v>
      </c>
      <c r="AR19" s="23">
        <v>800000</v>
      </c>
      <c r="AS19" s="16">
        <v>920347.23</v>
      </c>
      <c r="AT19" s="24">
        <f t="shared" si="12"/>
        <v>120347.22999999998</v>
      </c>
      <c r="AU19" s="47">
        <f t="shared" si="69"/>
        <v>1.1504340375</v>
      </c>
      <c r="AV19" s="130">
        <v>1659845.55</v>
      </c>
      <c r="AW19" s="131">
        <f t="shared" si="58"/>
        <v>859845.55</v>
      </c>
      <c r="AX19" s="47">
        <f t="shared" si="70"/>
        <v>2.0748069375</v>
      </c>
      <c r="AY19" s="23">
        <v>850000</v>
      </c>
      <c r="AZ19" s="16">
        <v>1327398</v>
      </c>
      <c r="BA19" s="24">
        <f t="shared" si="14"/>
        <v>477398</v>
      </c>
      <c r="BB19" s="47">
        <f t="shared" si="71"/>
        <v>1.561644705882353</v>
      </c>
      <c r="BC19" s="130">
        <v>1011548.16</v>
      </c>
      <c r="BD19" s="131">
        <f t="shared" si="61"/>
        <v>161548.16000000003</v>
      </c>
      <c r="BE19" s="47">
        <f t="shared" si="72"/>
        <v>1.1900566588235295</v>
      </c>
      <c r="BF19" s="23">
        <f t="shared" si="16"/>
        <v>5400000</v>
      </c>
      <c r="BG19" s="23">
        <f t="shared" si="17"/>
        <v>6971959.25</v>
      </c>
      <c r="BH19" s="24">
        <f t="shared" si="18"/>
        <v>1571959.25</v>
      </c>
      <c r="BI19" s="47">
        <f t="shared" si="39"/>
        <v>1.2911035648148148</v>
      </c>
      <c r="BJ19" s="16">
        <f t="shared" si="19"/>
        <v>7040172.1800000006</v>
      </c>
      <c r="BK19" s="25">
        <f t="shared" si="20"/>
        <v>1640172.1800000006</v>
      </c>
      <c r="BL19" s="47">
        <f t="shared" si="40"/>
        <v>1.3037355888888891</v>
      </c>
      <c r="BM19" s="16">
        <f t="shared" si="21"/>
        <v>871494.90625</v>
      </c>
      <c r="BN19" s="26">
        <f t="shared" si="22"/>
        <v>880021.52250000008</v>
      </c>
    </row>
    <row r="20" spans="1:66" x14ac:dyDescent="0.3">
      <c r="A20" s="22" t="s">
        <v>26</v>
      </c>
      <c r="B20" s="23"/>
      <c r="C20" s="16">
        <v>60669.83</v>
      </c>
      <c r="D20" s="24">
        <f>+C20-B20</f>
        <v>60669.83</v>
      </c>
      <c r="E20" s="18"/>
      <c r="F20" s="28">
        <v>74635.009999999995</v>
      </c>
      <c r="G20" s="25">
        <f>+F20-B20</f>
        <v>74635.009999999995</v>
      </c>
      <c r="H20" s="18"/>
      <c r="I20" s="23"/>
      <c r="J20" s="16">
        <f>327.32+8787.51</f>
        <v>9114.83</v>
      </c>
      <c r="K20" s="24">
        <f>+J20-I20</f>
        <v>9114.83</v>
      </c>
      <c r="L20" s="18"/>
      <c r="M20" s="28">
        <v>5256.55</v>
      </c>
      <c r="N20" s="25">
        <f>+M20-I20</f>
        <v>5256.55</v>
      </c>
      <c r="O20" s="18"/>
      <c r="P20" s="23"/>
      <c r="Q20" s="16">
        <v>33104.07</v>
      </c>
      <c r="R20" s="24">
        <f>+Q20-P20</f>
        <v>33104.07</v>
      </c>
      <c r="S20" s="18"/>
      <c r="T20" s="28">
        <v>23024.37</v>
      </c>
      <c r="U20" s="25">
        <f>+T20-P20</f>
        <v>23024.37</v>
      </c>
      <c r="V20" s="18"/>
      <c r="W20" s="23"/>
      <c r="X20" s="16">
        <v>10029.39</v>
      </c>
      <c r="Y20" s="24">
        <f>+X20-W20</f>
        <v>10029.39</v>
      </c>
      <c r="Z20" s="18"/>
      <c r="AA20" s="28">
        <v>9296.48</v>
      </c>
      <c r="AB20" s="25">
        <f>+AA20-W20</f>
        <v>9296.48</v>
      </c>
      <c r="AC20" s="18"/>
      <c r="AD20" s="23"/>
      <c r="AE20" s="16">
        <v>19130.11</v>
      </c>
      <c r="AF20" s="24">
        <f>+AE20-AD20</f>
        <v>19130.11</v>
      </c>
      <c r="AG20" s="18"/>
      <c r="AH20" s="28">
        <v>19324.61</v>
      </c>
      <c r="AI20" s="25">
        <f>+AH20-AD20</f>
        <v>19324.61</v>
      </c>
      <c r="AJ20" s="18"/>
      <c r="AK20" s="23"/>
      <c r="AL20" s="16">
        <v>12918.1</v>
      </c>
      <c r="AM20" s="24">
        <f>+AL20-AK20</f>
        <v>12918.1</v>
      </c>
      <c r="AN20" s="126"/>
      <c r="AO20" s="132">
        <v>12883.06</v>
      </c>
      <c r="AP20" s="131">
        <f>+AO20-AK20</f>
        <v>12883.06</v>
      </c>
      <c r="AQ20" s="126"/>
      <c r="AR20" s="23"/>
      <c r="AS20" s="16">
        <v>12592.89</v>
      </c>
      <c r="AT20" s="24">
        <f>+AS20-AR20</f>
        <v>12592.89</v>
      </c>
      <c r="AU20" s="18"/>
      <c r="AV20" s="132">
        <v>11201.94</v>
      </c>
      <c r="AW20" s="131">
        <f>+AV20-AR20</f>
        <v>11201.94</v>
      </c>
      <c r="AX20" s="18"/>
      <c r="AY20" s="23"/>
      <c r="AZ20" s="16">
        <v>13382.1</v>
      </c>
      <c r="BA20" s="24">
        <f>+AZ20-AY20</f>
        <v>13382.1</v>
      </c>
      <c r="BB20" s="18"/>
      <c r="BC20" s="132">
        <v>12786.05</v>
      </c>
      <c r="BD20" s="131">
        <f>+BC20-AY20</f>
        <v>12786.05</v>
      </c>
      <c r="BE20" s="18"/>
      <c r="BF20" s="23">
        <f t="shared" si="16"/>
        <v>0</v>
      </c>
      <c r="BG20" s="23">
        <f t="shared" si="17"/>
        <v>170941.32000000004</v>
      </c>
      <c r="BH20" s="24">
        <f t="shared" si="18"/>
        <v>170941.32000000004</v>
      </c>
      <c r="BI20" s="18"/>
      <c r="BJ20" s="16">
        <f t="shared" si="19"/>
        <v>168408.06999999998</v>
      </c>
      <c r="BK20" s="25">
        <f t="shared" si="20"/>
        <v>168408.06999999998</v>
      </c>
      <c r="BL20" s="18"/>
      <c r="BM20" s="16">
        <f t="shared" si="21"/>
        <v>21367.665000000005</v>
      </c>
      <c r="BN20" s="26">
        <f t="shared" si="22"/>
        <v>21051.008749999997</v>
      </c>
    </row>
    <row r="21" spans="1:66" ht="15" thickBot="1" x14ac:dyDescent="0.35">
      <c r="A21" s="22"/>
      <c r="B21" s="23"/>
      <c r="C21" s="16"/>
      <c r="D21" s="24"/>
      <c r="E21" s="30"/>
      <c r="F21" s="29"/>
      <c r="G21" s="25"/>
      <c r="H21" s="18"/>
      <c r="I21" s="23"/>
      <c r="J21" s="16"/>
      <c r="K21" s="24"/>
      <c r="L21" s="30"/>
      <c r="M21" s="29"/>
      <c r="N21" s="25"/>
      <c r="O21" s="18"/>
      <c r="P21" s="23"/>
      <c r="Q21" s="16"/>
      <c r="R21" s="24"/>
      <c r="S21" s="30"/>
      <c r="T21" s="29"/>
      <c r="U21" s="25"/>
      <c r="V21" s="18"/>
      <c r="W21" s="23"/>
      <c r="X21" s="16"/>
      <c r="Y21" s="24"/>
      <c r="Z21" s="30"/>
      <c r="AA21" s="29"/>
      <c r="AB21" s="25"/>
      <c r="AC21" s="18"/>
      <c r="AD21" s="23"/>
      <c r="AE21" s="16"/>
      <c r="AF21" s="24"/>
      <c r="AG21" s="30"/>
      <c r="AH21" s="29"/>
      <c r="AI21" s="25"/>
      <c r="AJ21" s="18"/>
      <c r="AK21" s="23"/>
      <c r="AL21" s="16"/>
      <c r="AM21" s="24"/>
      <c r="AN21" s="133"/>
      <c r="AO21" s="130"/>
      <c r="AP21" s="131"/>
      <c r="AQ21" s="126"/>
      <c r="AR21" s="23"/>
      <c r="AS21" s="16"/>
      <c r="AT21" s="24"/>
      <c r="AU21" s="30"/>
      <c r="AV21" s="130"/>
      <c r="AW21" s="131"/>
      <c r="AX21" s="18"/>
      <c r="AY21" s="23"/>
      <c r="AZ21" s="16"/>
      <c r="BA21" s="24"/>
      <c r="BB21" s="30"/>
      <c r="BC21" s="130"/>
      <c r="BD21" s="131"/>
      <c r="BE21" s="18"/>
      <c r="BF21" s="78"/>
      <c r="BG21" s="78"/>
      <c r="BH21" s="79"/>
      <c r="BI21" s="161"/>
      <c r="BJ21" s="78"/>
      <c r="BK21" s="81"/>
      <c r="BL21" s="37"/>
      <c r="BM21" s="83"/>
      <c r="BN21" s="82"/>
    </row>
    <row r="22" spans="1:66" ht="15" thickBot="1" x14ac:dyDescent="0.35">
      <c r="A22" s="31" t="s">
        <v>23</v>
      </c>
      <c r="B22" s="32">
        <f>SUM(B4:B21)</f>
        <v>12098000</v>
      </c>
      <c r="C22" s="32">
        <f>SUM(C4:C21)</f>
        <v>9551724.5199999996</v>
      </c>
      <c r="D22" s="32">
        <f>SUM(D4:D21)</f>
        <v>-2546275.4799999995</v>
      </c>
      <c r="E22" s="33">
        <f>+C22/B22</f>
        <v>0.78952922135890224</v>
      </c>
      <c r="F22" s="32">
        <f>SUM(F4:F21)</f>
        <v>5981425.2799999984</v>
      </c>
      <c r="G22" s="32">
        <f>SUM(G4:G21)</f>
        <v>-6116574.7199999997</v>
      </c>
      <c r="H22" s="33">
        <f>+F22/B22</f>
        <v>0.49441438915523211</v>
      </c>
      <c r="I22" s="32">
        <f>SUM(I4:I21)</f>
        <v>12348000</v>
      </c>
      <c r="J22" s="32">
        <f>SUM(J4:J21)</f>
        <v>22744224.27</v>
      </c>
      <c r="K22" s="32">
        <f>SUM(K4:K21)</f>
        <v>10396224.270000001</v>
      </c>
      <c r="L22" s="91">
        <f>+J22/I22</f>
        <v>1.8419358819241982</v>
      </c>
      <c r="M22" s="32">
        <f>SUM(M4:M21)</f>
        <v>10257478.640000001</v>
      </c>
      <c r="N22" s="32">
        <f>SUM(N4:N21)</f>
        <v>-2090521.3599999996</v>
      </c>
      <c r="O22" s="90">
        <f>+M22/I22</f>
        <v>0.83069959831551676</v>
      </c>
      <c r="P22" s="32">
        <f>SUM(P4:P21)</f>
        <v>12098000</v>
      </c>
      <c r="Q22" s="32">
        <f>SUM(Q4:Q21)</f>
        <v>11511387.870000001</v>
      </c>
      <c r="R22" s="32">
        <f>SUM(R4:R21)</f>
        <v>-586612.12999999931</v>
      </c>
      <c r="S22" s="33">
        <f>+Q22/P22</f>
        <v>0.95151164407340061</v>
      </c>
      <c r="T22" s="32">
        <f>SUM(T4:T21)</f>
        <v>6915087.1899999995</v>
      </c>
      <c r="U22" s="32">
        <f>SUM(U4:U21)</f>
        <v>-5182912.8100000005</v>
      </c>
      <c r="V22" s="90">
        <f>+T22/P22</f>
        <v>0.57158928665895181</v>
      </c>
      <c r="W22" s="32">
        <f>SUM(W4:W21)</f>
        <v>12298000</v>
      </c>
      <c r="X22" s="32">
        <f>SUM(X4:X21)</f>
        <v>8576678.75</v>
      </c>
      <c r="Y22" s="32">
        <f>SUM(Y4:Y21)</f>
        <v>-3721321.2500000005</v>
      </c>
      <c r="Z22" s="33">
        <f>+X22/W22</f>
        <v>0.69740435436656367</v>
      </c>
      <c r="AA22" s="32">
        <f>SUM(AA4:AA21)</f>
        <v>10142133.060000001</v>
      </c>
      <c r="AB22" s="32">
        <f>SUM(AB4:AB21)</f>
        <v>-2155866.9400000009</v>
      </c>
      <c r="AC22" s="90">
        <f>+AA22/W22</f>
        <v>0.82469776061148159</v>
      </c>
      <c r="AD22" s="32">
        <f>SUM(AD4:AD21)</f>
        <v>12498000</v>
      </c>
      <c r="AE22" s="32">
        <f>SUM(AE4:AE21)</f>
        <v>6257997.7400000002</v>
      </c>
      <c r="AF22" s="32">
        <f>SUM(AF4:AF21)</f>
        <v>-6240002.2599999988</v>
      </c>
      <c r="AG22" s="33">
        <f>+AE22/AD22</f>
        <v>0.50071993438950235</v>
      </c>
      <c r="AH22" s="32">
        <f>SUM(AH4:AH21)</f>
        <v>10428658.629999999</v>
      </c>
      <c r="AI22" s="32">
        <f>SUM(AI4:AI21)</f>
        <v>-2069341.37</v>
      </c>
      <c r="AJ22" s="90">
        <f>+AH22/AD22</f>
        <v>0.83442619859177458</v>
      </c>
      <c r="AK22" s="32">
        <f>SUM(AK4:AK21)</f>
        <v>12798000</v>
      </c>
      <c r="AL22" s="32">
        <f>SUM(AL4:AL21)</f>
        <v>12599131.73</v>
      </c>
      <c r="AM22" s="32">
        <f>SUM(AM4:AM21)</f>
        <v>-198868.26999999894</v>
      </c>
      <c r="AN22" s="134">
        <f>+AL22/AK22</f>
        <v>0.98446098843569307</v>
      </c>
      <c r="AO22" s="135">
        <f>SUM(AO4:AO21)</f>
        <v>8082026.2799999993</v>
      </c>
      <c r="AP22" s="135">
        <f>SUM(AP4:AP21)</f>
        <v>-4715973.7199999988</v>
      </c>
      <c r="AQ22" s="136">
        <f>+AO22/AK22</f>
        <v>0.63150697609001405</v>
      </c>
      <c r="AR22" s="32">
        <f>SUM(AR4:AR21)</f>
        <v>13048000</v>
      </c>
      <c r="AS22" s="32">
        <f>SUM(AS4:AS21)</f>
        <v>10582459.110000001</v>
      </c>
      <c r="AT22" s="32">
        <f>SUM(AT4:AT21)</f>
        <v>-2465540.8899999997</v>
      </c>
      <c r="AU22" s="33">
        <f>+AS22/AR22</f>
        <v>0.81104070432250164</v>
      </c>
      <c r="AV22" s="135">
        <f>SUM(AV4:AV21)</f>
        <v>7688887.2799999993</v>
      </c>
      <c r="AW22" s="135">
        <f>SUM(AW4:AW21)</f>
        <v>-5359112.7200000007</v>
      </c>
      <c r="AX22" s="90">
        <f>+AV22/AR22</f>
        <v>0.58927707541385643</v>
      </c>
      <c r="AY22" s="32">
        <f>SUM(AY4:AY21)</f>
        <v>13298000</v>
      </c>
      <c r="AZ22" s="32">
        <f>SUM(AZ4:AZ21)</f>
        <v>11372872.17</v>
      </c>
      <c r="BA22" s="32">
        <f>SUM(BA4:BA21)</f>
        <v>-1925127.8299999996</v>
      </c>
      <c r="BB22" s="33">
        <f>+AZ22/AY22</f>
        <v>0.85523177695894115</v>
      </c>
      <c r="BC22" s="135">
        <f>SUM(BC4:BC21)</f>
        <v>7519271.7799999993</v>
      </c>
      <c r="BD22" s="135">
        <f>SUM(BD4:BD21)</f>
        <v>-5778728.2200000007</v>
      </c>
      <c r="BE22" s="90">
        <f>+BC22/AY22</f>
        <v>0.56544380959542784</v>
      </c>
      <c r="BF22" s="89">
        <f>SUM(BF4:BF20)</f>
        <v>100484000</v>
      </c>
      <c r="BG22" s="32">
        <f>SUM(BG4:BG20)</f>
        <v>93196476.159999996</v>
      </c>
      <c r="BH22" s="84">
        <f>+BG22-BF22</f>
        <v>-7287523.8400000036</v>
      </c>
      <c r="BI22" s="85">
        <f>+BG22/BF22</f>
        <v>0.92747577883046051</v>
      </c>
      <c r="BJ22" s="86">
        <f>SUM(BJ4:BJ20)</f>
        <v>67014968.139999986</v>
      </c>
      <c r="BK22" s="87">
        <f>+BJ22-BF22</f>
        <v>-33469031.860000014</v>
      </c>
      <c r="BL22" s="85">
        <f>+BJ22/BF22</f>
        <v>0.66692177998487312</v>
      </c>
      <c r="BM22" s="86">
        <f>+BG22/8</f>
        <v>11649559.52</v>
      </c>
      <c r="BN22" s="88">
        <f>+BJ22/8</f>
        <v>8376871.0174999982</v>
      </c>
    </row>
    <row r="23" spans="1:66" x14ac:dyDescent="0.3">
      <c r="A23" s="22"/>
      <c r="B23" s="23"/>
      <c r="C23" s="16"/>
      <c r="D23" s="34"/>
      <c r="E23" s="18"/>
      <c r="F23" s="29"/>
      <c r="G23" s="35"/>
      <c r="H23" s="18"/>
      <c r="I23" s="23"/>
      <c r="J23" s="16"/>
      <c r="K23" s="34"/>
      <c r="L23" s="18"/>
      <c r="M23" s="29"/>
      <c r="N23" s="35"/>
      <c r="O23" s="18"/>
      <c r="P23" s="23"/>
      <c r="Q23" s="16"/>
      <c r="R23" s="34"/>
      <c r="S23" s="18"/>
      <c r="T23" s="29"/>
      <c r="U23" s="35"/>
      <c r="V23" s="18"/>
      <c r="W23" s="23"/>
      <c r="X23" s="16"/>
      <c r="Y23" s="34"/>
      <c r="Z23" s="18"/>
      <c r="AA23" s="29"/>
      <c r="AB23" s="35"/>
      <c r="AC23" s="18"/>
      <c r="AD23" s="23"/>
      <c r="AE23" s="16"/>
      <c r="AF23" s="34"/>
      <c r="AG23" s="18"/>
      <c r="AH23" s="29"/>
      <c r="AI23" s="35"/>
      <c r="AJ23" s="18"/>
      <c r="AK23" s="23"/>
      <c r="AL23" s="16"/>
      <c r="AM23" s="34"/>
      <c r="AN23" s="126"/>
      <c r="AO23" s="130"/>
      <c r="AP23" s="137"/>
      <c r="AQ23" s="126"/>
      <c r="AR23" s="23"/>
      <c r="AS23" s="16"/>
      <c r="AT23" s="34"/>
      <c r="AU23" s="18"/>
      <c r="AV23" s="130"/>
      <c r="AW23" s="137"/>
      <c r="AX23" s="18"/>
      <c r="AY23" s="23"/>
      <c r="AZ23" s="16"/>
      <c r="BA23" s="34"/>
      <c r="BB23" s="18"/>
      <c r="BC23" s="130"/>
      <c r="BD23" s="137"/>
      <c r="BE23" s="18"/>
      <c r="BF23" s="23"/>
      <c r="BG23" s="16"/>
      <c r="BH23" s="34"/>
      <c r="BI23" s="18"/>
      <c r="BJ23" s="29"/>
      <c r="BK23" s="35"/>
      <c r="BL23" s="18"/>
      <c r="BM23" s="16"/>
      <c r="BN23" s="26"/>
    </row>
    <row r="24" spans="1:66" x14ac:dyDescent="0.3">
      <c r="A24" s="22" t="s">
        <v>25</v>
      </c>
      <c r="B24" s="26"/>
      <c r="C24" s="16">
        <v>5189998</v>
      </c>
      <c r="E24" s="18"/>
      <c r="F24" s="29">
        <v>6473867</v>
      </c>
      <c r="H24" s="37"/>
      <c r="I24" s="26"/>
      <c r="J24" s="16">
        <v>6480867</v>
      </c>
      <c r="L24" s="18"/>
      <c r="M24" s="29">
        <v>4656309</v>
      </c>
      <c r="O24" s="37"/>
      <c r="P24" s="26"/>
      <c r="Q24" s="16">
        <v>5002093</v>
      </c>
      <c r="S24" s="18"/>
      <c r="T24" s="29">
        <v>4948390</v>
      </c>
      <c r="V24" s="37"/>
      <c r="W24" s="26"/>
      <c r="X24" s="16">
        <v>5759007</v>
      </c>
      <c r="Z24" s="18"/>
      <c r="AA24" s="29">
        <v>5350403</v>
      </c>
      <c r="AC24" s="37"/>
      <c r="AD24" s="26"/>
      <c r="AE24" s="16">
        <v>35091548</v>
      </c>
      <c r="AG24" s="18"/>
      <c r="AH24" s="29">
        <v>46426011</v>
      </c>
      <c r="AJ24" s="37"/>
      <c r="AK24" s="26"/>
      <c r="AL24" s="16">
        <v>7015929</v>
      </c>
      <c r="AN24" s="126"/>
      <c r="AO24" s="130">
        <v>7038899</v>
      </c>
      <c r="AQ24" s="139"/>
      <c r="AR24" s="26"/>
      <c r="AS24" s="16">
        <v>8765255</v>
      </c>
      <c r="AU24" s="18"/>
      <c r="AV24" s="130">
        <v>7021649</v>
      </c>
      <c r="AX24" s="37"/>
      <c r="AY24" s="26"/>
      <c r="AZ24" s="16">
        <v>7086943</v>
      </c>
      <c r="BB24" s="18"/>
      <c r="BC24" s="130">
        <v>8150098</v>
      </c>
      <c r="BE24" s="37"/>
      <c r="BF24" s="26"/>
      <c r="BG24" s="16">
        <f>+C24+J24+Q24+X24+AE24+AL24+AS24+AZ24</f>
        <v>80391640</v>
      </c>
      <c r="BI24" s="18"/>
      <c r="BJ24" s="16">
        <f t="shared" ref="BJ24" si="73">+F24+M24+T24+AA24+AH24+AO24+AV24+BC24</f>
        <v>90065626</v>
      </c>
      <c r="BK24" s="36"/>
      <c r="BL24" s="37"/>
      <c r="BM24" s="16">
        <f t="shared" ref="BM24" si="74">+BG24/8</f>
        <v>10048955</v>
      </c>
      <c r="BN24" s="26">
        <f t="shared" ref="BN24" si="75">+BJ24/8</f>
        <v>11258203.25</v>
      </c>
    </row>
    <row r="25" spans="1:66" x14ac:dyDescent="0.3">
      <c r="A25" s="38"/>
      <c r="B25" s="26"/>
      <c r="C25" s="16"/>
      <c r="E25" s="18"/>
      <c r="F25" s="29"/>
      <c r="H25" s="37"/>
      <c r="I25" s="26"/>
      <c r="J25" s="16"/>
      <c r="L25" s="18"/>
      <c r="M25" s="29"/>
      <c r="O25" s="37"/>
      <c r="P25" s="26"/>
      <c r="Q25" s="16"/>
      <c r="S25" s="18"/>
      <c r="T25" s="29"/>
      <c r="V25" s="37"/>
      <c r="W25" s="26"/>
      <c r="X25" s="16"/>
      <c r="Z25" s="18"/>
      <c r="AA25" s="29"/>
      <c r="AC25" s="37"/>
      <c r="AD25" s="26"/>
      <c r="AE25" s="16"/>
      <c r="AG25" s="18"/>
      <c r="AH25" s="29"/>
      <c r="AJ25" s="37"/>
      <c r="AK25" s="26"/>
      <c r="AL25" s="16"/>
      <c r="AN25" s="126"/>
      <c r="AO25" s="130"/>
      <c r="AQ25" s="139"/>
      <c r="AR25" s="26"/>
      <c r="AS25" s="16"/>
      <c r="AU25" s="18"/>
      <c r="AV25" s="130"/>
      <c r="AX25" s="37"/>
      <c r="AY25" s="26"/>
      <c r="AZ25" s="16"/>
      <c r="BB25" s="18"/>
      <c r="BC25" s="130"/>
      <c r="BE25" s="37"/>
      <c r="BF25" s="26"/>
      <c r="BG25" s="16"/>
      <c r="BI25" s="18"/>
      <c r="BJ25" s="29"/>
      <c r="BK25" s="36"/>
      <c r="BL25" s="37"/>
      <c r="BM25" s="16"/>
      <c r="BN25" s="26"/>
    </row>
    <row r="26" spans="1:66" ht="15" thickBot="1" x14ac:dyDescent="0.35">
      <c r="A26" s="39" t="s">
        <v>24</v>
      </c>
      <c r="B26" s="40"/>
      <c r="C26" s="41">
        <f>+C22-C24</f>
        <v>4361726.5199999996</v>
      </c>
      <c r="D26" s="42"/>
      <c r="E26" s="43">
        <f>+(C22/C24)-1</f>
        <v>0.8404100579614866</v>
      </c>
      <c r="F26" s="41">
        <f>+F22-F24</f>
        <v>-492441.7200000016</v>
      </c>
      <c r="G26" s="42"/>
      <c r="H26" s="43">
        <f>+(F22/F24)-1</f>
        <v>-7.6066085386060855E-2</v>
      </c>
      <c r="I26" s="40"/>
      <c r="J26" s="41">
        <f>+J22-J24</f>
        <v>16263357.27</v>
      </c>
      <c r="K26" s="42"/>
      <c r="L26" s="43">
        <f>+(J22/J24)-1</f>
        <v>2.5094416024892965</v>
      </c>
      <c r="M26" s="41">
        <f>+M22-M24</f>
        <v>5601169.6400000006</v>
      </c>
      <c r="N26" s="42"/>
      <c r="O26" s="43">
        <f>+(M22/M24)-1</f>
        <v>1.2029205192352999</v>
      </c>
      <c r="P26" s="40"/>
      <c r="Q26" s="41">
        <f>+Q22-Q24</f>
        <v>6509294.870000001</v>
      </c>
      <c r="R26" s="42"/>
      <c r="S26" s="43">
        <f>+(Q22/Q24)-1</f>
        <v>1.3013142438575214</v>
      </c>
      <c r="T26" s="41">
        <f>+T22-T24</f>
        <v>1966697.1899999995</v>
      </c>
      <c r="U26" s="42"/>
      <c r="V26" s="43">
        <f>+(T22/T24)-1</f>
        <v>0.39744183259605648</v>
      </c>
      <c r="W26" s="40"/>
      <c r="X26" s="41">
        <f>+X22-X24</f>
        <v>2817671.75</v>
      </c>
      <c r="Y26" s="42"/>
      <c r="Z26" s="43">
        <f>+(X22/X24)-1</f>
        <v>0.48926347024756178</v>
      </c>
      <c r="AA26" s="41">
        <f>+AA22-AA24</f>
        <v>4791730.0600000005</v>
      </c>
      <c r="AB26" s="42"/>
      <c r="AC26" s="104">
        <f>+(AA22/AA24)-1</f>
        <v>0.89558301683069486</v>
      </c>
      <c r="AD26" s="40"/>
      <c r="AE26" s="41">
        <f>+AE22-AE24</f>
        <v>-28833550.259999998</v>
      </c>
      <c r="AF26" s="42"/>
      <c r="AG26" s="43">
        <f>+(AE22/AE24)-1</f>
        <v>-0.8216665238022558</v>
      </c>
      <c r="AH26" s="41">
        <f>+AH22-AH24</f>
        <v>-35997352.370000005</v>
      </c>
      <c r="AI26" s="42"/>
      <c r="AJ26" s="43">
        <f>+(AH22/AH24)-1</f>
        <v>-0.7753703493931452</v>
      </c>
      <c r="AK26" s="40"/>
      <c r="AL26" s="41">
        <f>+AL22-AL24</f>
        <v>5583202.7300000004</v>
      </c>
      <c r="AM26" s="42"/>
      <c r="AN26" s="140">
        <f>+(AL22/AL24)-1</f>
        <v>0.79578951411851517</v>
      </c>
      <c r="AO26" s="141">
        <f>+AO22-AO24</f>
        <v>1043127.2799999993</v>
      </c>
      <c r="AP26" s="142"/>
      <c r="AQ26" s="140">
        <f>+(AO22/AO24)-1</f>
        <v>0.14819466510316448</v>
      </c>
      <c r="AR26" s="40"/>
      <c r="AS26" s="41">
        <f>+AS22-AS24</f>
        <v>1817204.1100000013</v>
      </c>
      <c r="AT26" s="42"/>
      <c r="AU26" s="43">
        <f>+(AS22/AS24)-1</f>
        <v>0.20731902380478395</v>
      </c>
      <c r="AV26" s="141">
        <f>+AV22-AV24</f>
        <v>667238.27999999933</v>
      </c>
      <c r="AW26" s="142"/>
      <c r="AX26" s="43">
        <f>+(AV22/AV24)-1</f>
        <v>9.5025866431090344E-2</v>
      </c>
      <c r="AY26" s="40"/>
      <c r="AZ26" s="41">
        <f>+AZ22-AZ24</f>
        <v>4285929.17</v>
      </c>
      <c r="BA26" s="42"/>
      <c r="BB26" s="43">
        <f>+(AZ22/AZ24)-1</f>
        <v>0.60476416559297852</v>
      </c>
      <c r="BC26" s="141">
        <f>+BC22-BC24</f>
        <v>-630826.22000000067</v>
      </c>
      <c r="BD26" s="142"/>
      <c r="BE26" s="43">
        <f>+(BC22/BC24)-1</f>
        <v>-7.7401059471922995E-2</v>
      </c>
      <c r="BF26" s="40"/>
      <c r="BG26" s="41">
        <f>+BG22-BG24</f>
        <v>12804836.159999996</v>
      </c>
      <c r="BH26" s="42"/>
      <c r="BI26" s="43">
        <f>+(BG22/BG24)-1</f>
        <v>0.15928069336562856</v>
      </c>
      <c r="BJ26" s="41">
        <f>+BJ22-BJ24</f>
        <v>-23050657.860000014</v>
      </c>
      <c r="BK26" s="42"/>
      <c r="BL26" s="43">
        <f>+(BJ22/BJ24)-1</f>
        <v>-0.25593180088483491</v>
      </c>
      <c r="BM26" s="75"/>
      <c r="BN26" s="76"/>
    </row>
    <row r="28" spans="1:66" x14ac:dyDescent="0.3">
      <c r="D28" s="44"/>
      <c r="F28" s="46">
        <v>5981425.2800000003</v>
      </c>
      <c r="G28" s="46"/>
      <c r="H28" s="45"/>
      <c r="K28" s="44"/>
      <c r="M28" s="46">
        <v>10257478.65</v>
      </c>
      <c r="N28" s="46"/>
      <c r="O28" s="45"/>
      <c r="R28" s="44"/>
      <c r="T28" s="46">
        <v>6915087.2000000002</v>
      </c>
      <c r="U28" s="46"/>
      <c r="V28" s="45"/>
      <c r="Y28" s="44"/>
      <c r="AA28" s="46">
        <v>10142133.050000001</v>
      </c>
      <c r="AB28" s="46"/>
      <c r="AC28" s="45"/>
      <c r="AF28" s="44"/>
      <c r="AH28" s="46">
        <v>10391819.289999999</v>
      </c>
      <c r="AI28" s="46"/>
      <c r="AJ28" s="45"/>
      <c r="AM28" s="44"/>
      <c r="AO28" s="144">
        <v>8082026.2800000003</v>
      </c>
      <c r="AP28" s="144"/>
      <c r="AQ28" s="143"/>
      <c r="AT28" s="44"/>
      <c r="AV28" s="144">
        <v>7688887.29</v>
      </c>
      <c r="AW28" s="144"/>
      <c r="AX28" s="45"/>
      <c r="BA28" s="44"/>
      <c r="BC28" s="144">
        <v>7519271.7800000003</v>
      </c>
      <c r="BD28" s="144"/>
      <c r="BE28" s="45"/>
      <c r="BJ28" s="46">
        <v>66978128.82</v>
      </c>
    </row>
    <row r="29" spans="1:66" x14ac:dyDescent="0.3">
      <c r="F29" s="46">
        <f>+F22-F28</f>
        <v>0</v>
      </c>
      <c r="M29" s="46">
        <f>+M22-M28</f>
        <v>-9.9999997764825821E-3</v>
      </c>
      <c r="T29" s="46">
        <f>+T22-T28</f>
        <v>-1.0000000707805157E-2</v>
      </c>
      <c r="AA29" s="46">
        <f>+AA22-AA28</f>
        <v>9.9999997764825821E-3</v>
      </c>
      <c r="AH29" s="46">
        <f>+AH22-AH28</f>
        <v>36839.339999999851</v>
      </c>
      <c r="AO29" s="144">
        <f>+AO22-AO28</f>
        <v>0</v>
      </c>
      <c r="AV29" s="144">
        <f>+AV22-AV28</f>
        <v>-1.0000000707805157E-2</v>
      </c>
      <c r="BC29" s="144">
        <f>+BC22-BC28</f>
        <v>0</v>
      </c>
      <c r="BG29" s="65"/>
      <c r="BJ29" s="46">
        <f>+BJ22-BJ28</f>
        <v>36839.319999985397</v>
      </c>
    </row>
    <row r="30" spans="1:66" x14ac:dyDescent="0.3">
      <c r="K30" s="44"/>
      <c r="R30" s="44"/>
      <c r="Y30" s="44"/>
      <c r="AF30" s="44"/>
      <c r="AM30" s="44"/>
      <c r="AT30" s="44"/>
      <c r="BA30" s="44"/>
      <c r="BG30" s="65"/>
    </row>
    <row r="31" spans="1:66" x14ac:dyDescent="0.3">
      <c r="A31" s="22"/>
      <c r="K31" s="44"/>
      <c r="R31" s="44"/>
      <c r="Y31" s="44"/>
      <c r="AE31" s="46"/>
      <c r="AF31" s="44"/>
      <c r="AM31" s="44"/>
      <c r="AT31" s="44"/>
      <c r="BA31" s="44"/>
    </row>
    <row r="32" spans="1:66" x14ac:dyDescent="0.3">
      <c r="A32" s="27"/>
      <c r="K32" s="44"/>
      <c r="R32" s="44"/>
      <c r="Y32" s="44"/>
      <c r="AF32" s="44"/>
      <c r="AM32" s="44"/>
      <c r="AS32"/>
      <c r="AZ32" s="162"/>
    </row>
    <row r="33" spans="1:52" x14ac:dyDescent="0.3">
      <c r="A33" s="22"/>
      <c r="AS33"/>
      <c r="AZ33" s="65"/>
    </row>
    <row r="34" spans="1:52" x14ac:dyDescent="0.3">
      <c r="A34" s="22"/>
    </row>
    <row r="35" spans="1:52" x14ac:dyDescent="0.3">
      <c r="A35" s="22"/>
    </row>
    <row r="36" spans="1:52" x14ac:dyDescent="0.3">
      <c r="A36" s="22"/>
    </row>
    <row r="37" spans="1:52" x14ac:dyDescent="0.3">
      <c r="A37" s="22"/>
    </row>
    <row r="38" spans="1:52" x14ac:dyDescent="0.3">
      <c r="A38" s="22"/>
    </row>
    <row r="39" spans="1:52" x14ac:dyDescent="0.3">
      <c r="A39" s="22"/>
    </row>
    <row r="40" spans="1:52" x14ac:dyDescent="0.3">
      <c r="A40" s="22"/>
    </row>
  </sheetData>
  <pageMargins left="0.7" right="0.7" top="0.75" bottom="0.75" header="0.3" footer="0.3"/>
  <ignoredErrors>
    <ignoredError sqref="BB22 AU22:AY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1483-AB29-438B-90AE-77B6C3E09E3D}">
  <dimension ref="A1:BG40"/>
  <sheetViews>
    <sheetView workbookViewId="0">
      <pane xSplit="1" ySplit="2" topLeftCell="AR3" activePane="bottomRight" state="frozen"/>
      <selection pane="topRight" activeCell="B1" sqref="B1"/>
      <selection pane="bottomLeft" activeCell="A3" sqref="A3"/>
      <selection pane="bottomRight" activeCell="BB26" sqref="BB26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0" width="11.44140625" style="44" bestFit="1" customWidth="1"/>
    <col min="31" max="31" width="12.88671875" style="44" bestFit="1" customWidth="1"/>
    <col min="32" max="32" width="11.77734375" customWidth="1"/>
    <col min="33" max="33" width="7.77734375" style="45" bestFit="1" customWidth="1"/>
    <col min="34" max="34" width="11.44140625" style="46" bestFit="1" customWidth="1"/>
    <col min="35" max="35" width="11.44140625" style="36" bestFit="1" customWidth="1"/>
    <col min="36" max="36" width="7.77734375" style="36" bestFit="1" customWidth="1"/>
    <col min="37" max="37" width="11.44140625" style="44" bestFit="1" customWidth="1"/>
    <col min="38" max="38" width="12.88671875" style="44" bestFit="1" customWidth="1"/>
    <col min="39" max="39" width="11.77734375" customWidth="1"/>
    <col min="40" max="40" width="7.77734375" style="143" bestFit="1" customWidth="1"/>
    <col min="41" max="41" width="11.44140625" style="144" bestFit="1" customWidth="1"/>
    <col min="42" max="42" width="11.44140625" style="138" bestFit="1" customWidth="1"/>
    <col min="43" max="43" width="7.77734375" style="138" bestFit="1" customWidth="1"/>
    <col min="44" max="44" width="11.44140625" style="44" bestFit="1" customWidth="1"/>
    <col min="45" max="45" width="12.88671875" style="44" bestFit="1" customWidth="1"/>
    <col min="46" max="46" width="11.77734375" customWidth="1"/>
    <col min="47" max="47" width="9.109375" style="45" bestFit="1" customWidth="1"/>
    <col min="48" max="48" width="11.44140625" style="144" bestFit="1" customWidth="1"/>
    <col min="49" max="49" width="11.44140625" style="138" bestFit="1" customWidth="1"/>
    <col min="50" max="50" width="7.77734375" style="36" bestFit="1" customWidth="1"/>
    <col min="51" max="53" width="11.44140625" bestFit="1" customWidth="1"/>
    <col min="54" max="54" width="7.77734375" customWidth="1"/>
    <col min="55" max="56" width="11.44140625" bestFit="1" customWidth="1"/>
    <col min="57" max="57" width="7.109375" bestFit="1" customWidth="1"/>
    <col min="58" max="59" width="11.44140625" bestFit="1" customWidth="1"/>
  </cols>
  <sheetData>
    <row r="1" spans="1:59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115"/>
      <c r="AL1" s="116"/>
      <c r="AM1" s="117"/>
      <c r="AN1" s="118" t="s">
        <v>53</v>
      </c>
      <c r="AO1" s="119"/>
      <c r="AP1" s="120"/>
      <c r="AQ1" s="121"/>
      <c r="AR1" s="145"/>
      <c r="AS1" s="146"/>
      <c r="AT1" s="147"/>
      <c r="AU1" s="148" t="s">
        <v>55</v>
      </c>
      <c r="AV1" s="149"/>
      <c r="AW1" s="150"/>
      <c r="AX1" s="151"/>
      <c r="AY1" s="66"/>
      <c r="AZ1" s="67"/>
      <c r="BA1" s="68"/>
      <c r="BB1" s="69" t="s">
        <v>46</v>
      </c>
      <c r="BC1" s="67"/>
      <c r="BD1" s="68"/>
      <c r="BE1" s="70"/>
      <c r="BF1" s="71"/>
      <c r="BG1" s="72"/>
    </row>
    <row r="2" spans="1:59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22" t="s">
        <v>5</v>
      </c>
      <c r="AO2" s="123" t="s">
        <v>6</v>
      </c>
      <c r="AP2" s="124" t="s">
        <v>7</v>
      </c>
      <c r="AQ2" s="125" t="s">
        <v>5</v>
      </c>
      <c r="AR2" s="8" t="s">
        <v>2</v>
      </c>
      <c r="AS2" s="9" t="s">
        <v>3</v>
      </c>
      <c r="AT2" s="10" t="s">
        <v>4</v>
      </c>
      <c r="AU2" s="11" t="s">
        <v>5</v>
      </c>
      <c r="AV2" s="123" t="s">
        <v>6</v>
      </c>
      <c r="AW2" s="124" t="s">
        <v>7</v>
      </c>
      <c r="AX2" s="13" t="s">
        <v>5</v>
      </c>
      <c r="AY2" s="8" t="s">
        <v>2</v>
      </c>
      <c r="AZ2" s="9" t="s">
        <v>3</v>
      </c>
      <c r="BA2" s="10" t="s">
        <v>4</v>
      </c>
      <c r="BB2" s="11" t="s">
        <v>5</v>
      </c>
      <c r="BC2" s="12" t="s">
        <v>6</v>
      </c>
      <c r="BD2" s="10" t="s">
        <v>7</v>
      </c>
      <c r="BE2" s="13" t="s">
        <v>5</v>
      </c>
      <c r="BF2" s="73" t="s">
        <v>47</v>
      </c>
      <c r="BG2" s="74" t="s">
        <v>48</v>
      </c>
    </row>
    <row r="3" spans="1:59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6"/>
      <c r="AM3" s="17"/>
      <c r="AN3" s="126"/>
      <c r="AO3" s="127"/>
      <c r="AP3" s="128"/>
      <c r="AQ3" s="129"/>
      <c r="AR3" s="15"/>
      <c r="AS3" s="16"/>
      <c r="AT3" s="17"/>
      <c r="AU3" s="18"/>
      <c r="AV3" s="127"/>
      <c r="AW3" s="128"/>
      <c r="AX3" s="21"/>
      <c r="AY3" s="15"/>
      <c r="AZ3" s="15"/>
      <c r="BA3" s="77"/>
      <c r="BB3" s="18"/>
      <c r="BC3" s="19"/>
      <c r="BD3" s="20"/>
      <c r="BE3" s="21"/>
      <c r="BF3" s="16"/>
      <c r="BG3" s="26"/>
    </row>
    <row r="4" spans="1:59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1100559.3999999999</v>
      </c>
      <c r="AI4" s="25">
        <f>+AH4-AD4</f>
        <v>-238190.60000000009</v>
      </c>
      <c r="AJ4" s="18">
        <f>+AH4/AD4</f>
        <v>0.82207985060690936</v>
      </c>
      <c r="AK4" s="23">
        <v>1338750</v>
      </c>
      <c r="AL4" s="16">
        <v>1381159.65</v>
      </c>
      <c r="AM4" s="24">
        <f>+AL4-AK4</f>
        <v>42409.649999999907</v>
      </c>
      <c r="AN4" s="47">
        <f>+AL4/AK4</f>
        <v>1.031678543417367</v>
      </c>
      <c r="AO4" s="130">
        <v>1415472.58</v>
      </c>
      <c r="AP4" s="131">
        <f>+AO4-AK4</f>
        <v>76722.580000000075</v>
      </c>
      <c r="AQ4" s="47">
        <f>+AO4/AK4</f>
        <v>1.0573091167133521</v>
      </c>
      <c r="AR4" s="23">
        <v>1338750</v>
      </c>
      <c r="AS4" s="16">
        <v>1949080.02</v>
      </c>
      <c r="AT4" s="24">
        <f>+AS4-AR4</f>
        <v>610330.02</v>
      </c>
      <c r="AU4" s="47">
        <f>+AS4/AR4</f>
        <v>1.4558954397759103</v>
      </c>
      <c r="AV4" s="130">
        <v>1200411.3899999999</v>
      </c>
      <c r="AW4" s="131">
        <f>+AV4-AR4</f>
        <v>-138338.6100000001</v>
      </c>
      <c r="AX4" s="18">
        <f>+AV4/AR4</f>
        <v>0.89666583753501394</v>
      </c>
      <c r="AY4" s="23">
        <f>+B4+I4+P4+W4+AD4+AK4+AR4</f>
        <v>9371250</v>
      </c>
      <c r="AZ4" s="23">
        <f>+C4+J4+Q4+X4+AE4+AL4+AS4</f>
        <v>8518130.9900000002</v>
      </c>
      <c r="BA4" s="24">
        <f>+AZ4-AY4</f>
        <v>-853119.00999999978</v>
      </c>
      <c r="BB4" s="18">
        <f>+AZ4/AY4</f>
        <v>0.9089642246231826</v>
      </c>
      <c r="BC4" s="16">
        <f>+F4+M4+T4+AA4+AH4+AO4+AV4</f>
        <v>6831854.4799999995</v>
      </c>
      <c r="BD4" s="25">
        <f>+BC4-AY4</f>
        <v>-2539395.5200000005</v>
      </c>
      <c r="BE4" s="18">
        <f>+BC4/AY4</f>
        <v>0.72902275363478719</v>
      </c>
      <c r="BF4" s="16">
        <f>+AZ4/7</f>
        <v>1216875.8557142857</v>
      </c>
      <c r="BG4" s="26">
        <f>+BC4/7</f>
        <v>975979.21142857138</v>
      </c>
    </row>
    <row r="5" spans="1:59" x14ac:dyDescent="0.3">
      <c r="A5" s="22" t="s">
        <v>9</v>
      </c>
      <c r="B5" s="23"/>
      <c r="C5" s="16"/>
      <c r="D5" s="24">
        <f t="shared" ref="D5:D19" si="0">+C5-B5</f>
        <v>0</v>
      </c>
      <c r="E5" s="18"/>
      <c r="F5" s="28"/>
      <c r="G5" s="25">
        <f t="shared" ref="G5:G19" si="1">+F5-B5</f>
        <v>0</v>
      </c>
      <c r="H5" s="18"/>
      <c r="I5" s="23"/>
      <c r="J5" s="16"/>
      <c r="K5" s="24">
        <f t="shared" ref="K5:K19" si="2">+J5-I5</f>
        <v>0</v>
      </c>
      <c r="L5" s="18"/>
      <c r="M5" s="28"/>
      <c r="N5" s="25">
        <f t="shared" ref="N5:N13" si="3">+M5-I5</f>
        <v>0</v>
      </c>
      <c r="O5" s="18"/>
      <c r="P5" s="23"/>
      <c r="Q5" s="16">
        <v>333.62</v>
      </c>
      <c r="R5" s="24">
        <f t="shared" ref="R5:R19" si="4">+Q5-P5</f>
        <v>333.62</v>
      </c>
      <c r="S5" s="18"/>
      <c r="T5" s="28"/>
      <c r="U5" s="25">
        <f t="shared" ref="U5:U13" si="5">+T5-P5</f>
        <v>0</v>
      </c>
      <c r="V5" s="18"/>
      <c r="W5" s="23"/>
      <c r="X5" s="16"/>
      <c r="Y5" s="24">
        <f t="shared" ref="Y5:Y19" si="6">+X5-W5</f>
        <v>0</v>
      </c>
      <c r="Z5" s="18"/>
      <c r="AA5" s="28"/>
      <c r="AB5" s="25">
        <f t="shared" ref="AB5:AB13" si="7">+AA5-W5</f>
        <v>0</v>
      </c>
      <c r="AC5" s="18"/>
      <c r="AD5" s="23"/>
      <c r="AE5" s="16"/>
      <c r="AF5" s="24">
        <f t="shared" ref="AF5:AF19" si="8">+AE5-AD5</f>
        <v>0</v>
      </c>
      <c r="AG5" s="18"/>
      <c r="AH5" s="28"/>
      <c r="AI5" s="25">
        <f t="shared" ref="AI5:AI13" si="9">+AH5-AD5</f>
        <v>0</v>
      </c>
      <c r="AJ5" s="18"/>
      <c r="AK5" s="23"/>
      <c r="AL5" s="16"/>
      <c r="AM5" s="24">
        <f t="shared" ref="AM5:AM19" si="10">+AL5-AK5</f>
        <v>0</v>
      </c>
      <c r="AN5" s="126"/>
      <c r="AO5" s="132"/>
      <c r="AP5" s="131">
        <f t="shared" ref="AP5:AP13" si="11">+AO5-AK5</f>
        <v>0</v>
      </c>
      <c r="AQ5" s="126"/>
      <c r="AR5" s="23"/>
      <c r="AS5" s="16"/>
      <c r="AT5" s="24">
        <f t="shared" ref="AT5:AT19" si="12">+AS5-AR5</f>
        <v>0</v>
      </c>
      <c r="AU5" s="18"/>
      <c r="AV5" s="132"/>
      <c r="AW5" s="131">
        <f t="shared" ref="AW5:AW13" si="13">+AV5-AR5</f>
        <v>0</v>
      </c>
      <c r="AX5" s="18"/>
      <c r="AY5" s="23">
        <f t="shared" ref="AY5:AY20" si="14">+B5+I5+P5+W5+AD5+AK5+AR5</f>
        <v>0</v>
      </c>
      <c r="AZ5" s="23">
        <f t="shared" ref="AZ5:AZ20" si="15">+C5+J5+Q5+X5+AE5+AL5+AS5</f>
        <v>333.62</v>
      </c>
      <c r="BA5" s="24">
        <f t="shared" ref="BA5:BA20" si="16">+AZ5-AY5</f>
        <v>333.62</v>
      </c>
      <c r="BB5" s="18"/>
      <c r="BC5" s="16">
        <f t="shared" ref="BC5:BC20" si="17">+F5+M5+T5+AA5+AH5+AO5+AV5</f>
        <v>0</v>
      </c>
      <c r="BD5" s="25">
        <f t="shared" ref="BD5:BD20" si="18">+BC5-AY5</f>
        <v>0</v>
      </c>
      <c r="BE5" s="18"/>
      <c r="BF5" s="16">
        <f t="shared" ref="BF5:BF20" si="19">+AZ5/7</f>
        <v>47.660000000000004</v>
      </c>
      <c r="BG5" s="26">
        <f t="shared" ref="BG5:BG20" si="20">+BC5/7</f>
        <v>0</v>
      </c>
    </row>
    <row r="6" spans="1:59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3" si="21">+C6/B6</f>
        <v>1.5115234571428571</v>
      </c>
      <c r="F6" s="28">
        <v>733269.34</v>
      </c>
      <c r="G6" s="25">
        <f t="shared" si="1"/>
        <v>383269.33999999997</v>
      </c>
      <c r="H6" s="47">
        <f t="shared" ref="H6:H19" si="22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3" si="23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3" si="24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3" si="25">+Q6/P6</f>
        <v>0.17456677777777779</v>
      </c>
      <c r="T6" s="28">
        <v>92549.31</v>
      </c>
      <c r="U6" s="25">
        <f t="shared" si="5"/>
        <v>-357450.69</v>
      </c>
      <c r="V6" s="18">
        <f t="shared" ref="V6:V13" si="26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3" si="27">+X6/W6</f>
        <v>0.44524607999999999</v>
      </c>
      <c r="AA6" s="28">
        <v>249803.76</v>
      </c>
      <c r="AB6" s="25">
        <f t="shared" si="7"/>
        <v>-250196.24</v>
      </c>
      <c r="AC6" s="18">
        <f t="shared" ref="AC6:AC13" si="28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3" si="29">+AE6/AD6</f>
        <v>0.16078852727272727</v>
      </c>
      <c r="AH6" s="28">
        <v>73899.7</v>
      </c>
      <c r="AI6" s="25">
        <f t="shared" si="9"/>
        <v>-476100.3</v>
      </c>
      <c r="AJ6" s="18">
        <f t="shared" ref="AJ6:AJ13" si="30">+AH6/AD6</f>
        <v>0.1343630909090909</v>
      </c>
      <c r="AK6" s="26">
        <v>600000</v>
      </c>
      <c r="AL6" s="16">
        <v>329742.83</v>
      </c>
      <c r="AM6" s="24">
        <f t="shared" si="10"/>
        <v>-270257.17</v>
      </c>
      <c r="AN6" s="126">
        <f t="shared" ref="AN6:AN13" si="31">+AL6/AK6</f>
        <v>0.54957138333333333</v>
      </c>
      <c r="AO6" s="132">
        <v>340216.77</v>
      </c>
      <c r="AP6" s="131">
        <f t="shared" si="11"/>
        <v>-259783.22999999998</v>
      </c>
      <c r="AQ6" s="126">
        <f t="shared" ref="AQ6:AQ13" si="32">+AO6/AK6</f>
        <v>0.56702795000000006</v>
      </c>
      <c r="AR6" s="26">
        <v>650000</v>
      </c>
      <c r="AS6" s="16">
        <v>244304.64000000001</v>
      </c>
      <c r="AT6" s="24">
        <f t="shared" si="12"/>
        <v>-405695.36</v>
      </c>
      <c r="AU6" s="18">
        <f t="shared" ref="AU6:AU12" si="33">+AS6/AR6</f>
        <v>0.37585329230769232</v>
      </c>
      <c r="AV6" s="132">
        <v>213600.19</v>
      </c>
      <c r="AW6" s="131">
        <f t="shared" si="13"/>
        <v>-436399.81</v>
      </c>
      <c r="AX6" s="18">
        <f t="shared" ref="AX6:AX12" si="34">+AV6/AR6</f>
        <v>0.32861567692307692</v>
      </c>
      <c r="AY6" s="23">
        <f t="shared" si="14"/>
        <v>3500000</v>
      </c>
      <c r="AZ6" s="23">
        <f t="shared" si="15"/>
        <v>2019516.77</v>
      </c>
      <c r="BA6" s="24">
        <f t="shared" si="16"/>
        <v>-1480483.23</v>
      </c>
      <c r="BB6" s="18">
        <f t="shared" ref="BB6:BB19" si="35">+AZ6/AY6</f>
        <v>0.57700479142857142</v>
      </c>
      <c r="BC6" s="16">
        <f t="shared" si="17"/>
        <v>1993222.3499999999</v>
      </c>
      <c r="BD6" s="25">
        <f t="shared" si="18"/>
        <v>-1506777.6500000001</v>
      </c>
      <c r="BE6" s="18">
        <f t="shared" ref="BE6:BE19" si="36">+BC6/AY6</f>
        <v>0.56949209999999995</v>
      </c>
      <c r="BF6" s="16">
        <f t="shared" si="19"/>
        <v>288502.39571428573</v>
      </c>
      <c r="BG6" s="26">
        <f t="shared" si="20"/>
        <v>284746.05</v>
      </c>
    </row>
    <row r="7" spans="1:59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21"/>
        <v>1.2200101967493584</v>
      </c>
      <c r="F7" s="28">
        <v>1033129.09</v>
      </c>
      <c r="G7" s="25">
        <f t="shared" si="1"/>
        <v>156379.08999999997</v>
      </c>
      <c r="H7" s="105">
        <f t="shared" si="22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23"/>
        <v>1.2477482634730539</v>
      </c>
      <c r="M7" s="28">
        <v>1174515.3999999999</v>
      </c>
      <c r="N7" s="25">
        <f t="shared" si="3"/>
        <v>297765.39999999991</v>
      </c>
      <c r="O7" s="47">
        <f t="shared" si="24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25"/>
        <v>0.93849876247504993</v>
      </c>
      <c r="T7" s="28">
        <v>927646.45</v>
      </c>
      <c r="U7" s="25">
        <f t="shared" si="5"/>
        <v>50896.449999999953</v>
      </c>
      <c r="V7" s="47">
        <f t="shared" si="26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27"/>
        <v>0.84989789563729679</v>
      </c>
      <c r="AA7" s="28">
        <v>547748.51</v>
      </c>
      <c r="AB7" s="25">
        <f t="shared" si="7"/>
        <v>-329001.49</v>
      </c>
      <c r="AC7" s="18">
        <f t="shared" si="28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29"/>
        <v>0.94251808383233526</v>
      </c>
      <c r="AH7" s="28">
        <v>935266.05</v>
      </c>
      <c r="AI7" s="25">
        <f t="shared" si="9"/>
        <v>58516.050000000047</v>
      </c>
      <c r="AJ7" s="47">
        <f t="shared" si="30"/>
        <v>1.066742001710864</v>
      </c>
      <c r="AK7" s="26">
        <v>876750</v>
      </c>
      <c r="AL7" s="16">
        <v>788588.77</v>
      </c>
      <c r="AM7" s="24">
        <f t="shared" si="10"/>
        <v>-88161.229999999981</v>
      </c>
      <c r="AN7" s="126">
        <f t="shared" si="31"/>
        <v>0.89944541773595665</v>
      </c>
      <c r="AO7" s="132">
        <v>1028781.18</v>
      </c>
      <c r="AP7" s="131">
        <f t="shared" si="11"/>
        <v>152031.18000000005</v>
      </c>
      <c r="AQ7" s="47">
        <f t="shared" si="32"/>
        <v>1.1734031137724552</v>
      </c>
      <c r="AR7" s="26">
        <v>876750</v>
      </c>
      <c r="AS7" s="16">
        <v>1514700.85</v>
      </c>
      <c r="AT7" s="24">
        <f t="shared" si="12"/>
        <v>637950.85000000009</v>
      </c>
      <c r="AU7" s="47">
        <f t="shared" si="33"/>
        <v>1.7276314228685488</v>
      </c>
      <c r="AV7" s="132">
        <v>1278670.1100000001</v>
      </c>
      <c r="AW7" s="131">
        <f t="shared" si="13"/>
        <v>401920.1100000001</v>
      </c>
      <c r="AX7" s="47">
        <f t="shared" si="34"/>
        <v>1.4584204277159967</v>
      </c>
      <c r="AY7" s="23">
        <f t="shared" si="14"/>
        <v>6137250</v>
      </c>
      <c r="AZ7" s="23">
        <f t="shared" si="15"/>
        <v>6861226.3499999996</v>
      </c>
      <c r="BA7" s="24">
        <f t="shared" si="16"/>
        <v>723976.34999999963</v>
      </c>
      <c r="BB7" s="47">
        <f t="shared" si="35"/>
        <v>1.1179642918245141</v>
      </c>
      <c r="BC7" s="29">
        <f t="shared" si="17"/>
        <v>6925756.7899999991</v>
      </c>
      <c r="BD7" s="25">
        <f t="shared" si="18"/>
        <v>788506.78999999911</v>
      </c>
      <c r="BE7" s="47">
        <f t="shared" si="36"/>
        <v>1.1284788447594605</v>
      </c>
      <c r="BF7" s="16">
        <f t="shared" si="19"/>
        <v>980175.19285714277</v>
      </c>
      <c r="BG7" s="26">
        <f t="shared" si="20"/>
        <v>989393.82714285702</v>
      </c>
    </row>
    <row r="8" spans="1:59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21"/>
        <v>0.35595089999999996</v>
      </c>
      <c r="F8" s="28">
        <v>19135.27</v>
      </c>
      <c r="G8" s="25">
        <f t="shared" si="1"/>
        <v>-80864.73</v>
      </c>
      <c r="H8" s="108">
        <f t="shared" si="22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23"/>
        <v>1.1560655333333332</v>
      </c>
      <c r="M8" s="28">
        <v>302930.28999999998</v>
      </c>
      <c r="N8" s="25">
        <f t="shared" si="3"/>
        <v>152930.28999999998</v>
      </c>
      <c r="O8" s="47">
        <f t="shared" si="24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25"/>
        <v>1.2518899999999999</v>
      </c>
      <c r="T8" s="28">
        <v>183223.25</v>
      </c>
      <c r="U8" s="25">
        <f t="shared" si="5"/>
        <v>-16776.75</v>
      </c>
      <c r="V8" s="18">
        <f t="shared" si="26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27"/>
        <v>1.2306406000000001</v>
      </c>
      <c r="AA8" s="28">
        <v>413578.44</v>
      </c>
      <c r="AB8" s="25">
        <f t="shared" si="7"/>
        <v>163578.44</v>
      </c>
      <c r="AC8" s="47">
        <f t="shared" si="28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29"/>
        <v>3.0624049666666666</v>
      </c>
      <c r="AH8" s="28">
        <v>1378236.43</v>
      </c>
      <c r="AI8" s="25">
        <f t="shared" si="9"/>
        <v>1078236.43</v>
      </c>
      <c r="AJ8" s="47">
        <f t="shared" si="30"/>
        <v>4.5941214333333331</v>
      </c>
      <c r="AK8" s="26">
        <v>350000</v>
      </c>
      <c r="AL8" s="16">
        <v>141282</v>
      </c>
      <c r="AM8" s="24">
        <f t="shared" si="10"/>
        <v>-208718</v>
      </c>
      <c r="AN8" s="126">
        <f t="shared" si="31"/>
        <v>0.40366285714285716</v>
      </c>
      <c r="AO8" s="132">
        <v>82357.23</v>
      </c>
      <c r="AP8" s="131">
        <f t="shared" si="11"/>
        <v>-267642.77</v>
      </c>
      <c r="AQ8" s="126">
        <f t="shared" si="32"/>
        <v>0.23530637142857141</v>
      </c>
      <c r="AR8" s="26">
        <v>400000</v>
      </c>
      <c r="AS8" s="16">
        <v>732884.89</v>
      </c>
      <c r="AT8" s="24">
        <f t="shared" si="12"/>
        <v>332884.89</v>
      </c>
      <c r="AU8" s="47">
        <f t="shared" si="33"/>
        <v>1.8322122250000001</v>
      </c>
      <c r="AV8" s="132">
        <v>387262.81</v>
      </c>
      <c r="AW8" s="131">
        <f t="shared" si="13"/>
        <v>-12737.190000000002</v>
      </c>
      <c r="AX8" s="18">
        <f t="shared" si="34"/>
        <v>0.968157025</v>
      </c>
      <c r="AY8" s="23">
        <f t="shared" si="14"/>
        <v>1750000</v>
      </c>
      <c r="AZ8" s="23">
        <f t="shared" si="15"/>
        <v>2559931.4500000002</v>
      </c>
      <c r="BA8" s="24">
        <f t="shared" si="16"/>
        <v>809931.45000000019</v>
      </c>
      <c r="BB8" s="47">
        <f t="shared" si="35"/>
        <v>1.4628179714285716</v>
      </c>
      <c r="BC8" s="16">
        <f t="shared" si="17"/>
        <v>2766723.7199999997</v>
      </c>
      <c r="BD8" s="25">
        <f t="shared" si="18"/>
        <v>1016723.7199999997</v>
      </c>
      <c r="BE8" s="47">
        <f t="shared" si="36"/>
        <v>1.5809849828571427</v>
      </c>
      <c r="BF8" s="16">
        <f t="shared" si="19"/>
        <v>365704.49285714288</v>
      </c>
      <c r="BG8" s="26">
        <f t="shared" si="20"/>
        <v>395246.2457142857</v>
      </c>
    </row>
    <row r="9" spans="1:59" x14ac:dyDescent="0.3">
      <c r="A9" s="152" t="s">
        <v>13</v>
      </c>
      <c r="B9" s="26">
        <v>500000</v>
      </c>
      <c r="C9" s="16"/>
      <c r="D9" s="24">
        <f t="shared" si="0"/>
        <v>-500000</v>
      </c>
      <c r="E9" s="18">
        <f t="shared" si="21"/>
        <v>0</v>
      </c>
      <c r="F9" s="28"/>
      <c r="G9" s="25">
        <f t="shared" si="1"/>
        <v>-500000</v>
      </c>
      <c r="H9" s="108">
        <f t="shared" si="22"/>
        <v>0</v>
      </c>
      <c r="I9" s="106">
        <v>550000</v>
      </c>
      <c r="J9" s="107"/>
      <c r="K9" s="24">
        <f t="shared" si="2"/>
        <v>-550000</v>
      </c>
      <c r="L9" s="108">
        <f t="shared" si="23"/>
        <v>0</v>
      </c>
      <c r="M9" s="28"/>
      <c r="N9" s="25">
        <f t="shared" si="3"/>
        <v>-550000</v>
      </c>
      <c r="O9" s="18">
        <f t="shared" si="24"/>
        <v>0</v>
      </c>
      <c r="P9" s="26">
        <v>600000</v>
      </c>
      <c r="Q9" s="16"/>
      <c r="R9" s="24">
        <f t="shared" si="4"/>
        <v>-600000</v>
      </c>
      <c r="S9" s="18">
        <f t="shared" si="25"/>
        <v>0</v>
      </c>
      <c r="T9" s="28"/>
      <c r="U9" s="25">
        <f t="shared" si="5"/>
        <v>-600000</v>
      </c>
      <c r="V9" s="18">
        <f t="shared" si="26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27"/>
        <v>0.15135869230769231</v>
      </c>
      <c r="AA9" s="28">
        <v>82902.45</v>
      </c>
      <c r="AB9" s="25">
        <f t="shared" si="7"/>
        <v>-567097.55000000005</v>
      </c>
      <c r="AC9" s="18">
        <f t="shared" si="28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29"/>
        <v>6.9524285714285712E-4</v>
      </c>
      <c r="AH9" s="28">
        <v>15967.69</v>
      </c>
      <c r="AI9" s="25">
        <f t="shared" si="9"/>
        <v>-684032.31</v>
      </c>
      <c r="AJ9" s="18">
        <f t="shared" si="30"/>
        <v>2.2810985714285716E-2</v>
      </c>
      <c r="AK9" s="26">
        <v>750000</v>
      </c>
      <c r="AL9" s="16"/>
      <c r="AM9" s="24">
        <f t="shared" si="10"/>
        <v>-750000</v>
      </c>
      <c r="AN9" s="126">
        <f t="shared" si="31"/>
        <v>0</v>
      </c>
      <c r="AO9" s="132"/>
      <c r="AP9" s="131">
        <f t="shared" si="11"/>
        <v>-750000</v>
      </c>
      <c r="AQ9" s="126">
        <f t="shared" si="32"/>
        <v>0</v>
      </c>
      <c r="AR9" s="26">
        <v>800000</v>
      </c>
      <c r="AS9" s="16"/>
      <c r="AT9" s="24">
        <f t="shared" si="12"/>
        <v>-800000</v>
      </c>
      <c r="AU9" s="18">
        <f t="shared" si="33"/>
        <v>0</v>
      </c>
      <c r="AV9" s="132"/>
      <c r="AW9" s="131">
        <f t="shared" si="13"/>
        <v>-800000</v>
      </c>
      <c r="AX9" s="18">
        <f t="shared" si="34"/>
        <v>0</v>
      </c>
      <c r="AY9" s="23">
        <f t="shared" si="14"/>
        <v>4550000</v>
      </c>
      <c r="AZ9" s="23">
        <f t="shared" si="15"/>
        <v>98869.819999999992</v>
      </c>
      <c r="BA9" s="24">
        <f t="shared" si="16"/>
        <v>-4451130.18</v>
      </c>
      <c r="BB9" s="18">
        <f t="shared" si="35"/>
        <v>2.1729630769230769E-2</v>
      </c>
      <c r="BC9" s="16">
        <f t="shared" si="17"/>
        <v>98870.14</v>
      </c>
      <c r="BD9" s="25">
        <f t="shared" si="18"/>
        <v>-4451129.8600000003</v>
      </c>
      <c r="BE9" s="18">
        <f t="shared" si="36"/>
        <v>2.17297010989011E-2</v>
      </c>
      <c r="BF9" s="16">
        <f t="shared" si="19"/>
        <v>14124.259999999998</v>
      </c>
      <c r="BG9" s="26">
        <f t="shared" si="20"/>
        <v>14124.305714285714</v>
      </c>
    </row>
    <row r="10" spans="1:59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21"/>
        <v>0.53262757049486464</v>
      </c>
      <c r="F10" s="28">
        <v>722856.95</v>
      </c>
      <c r="G10" s="25">
        <f t="shared" si="1"/>
        <v>-615893.05000000005</v>
      </c>
      <c r="H10" s="108">
        <f t="shared" si="22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23"/>
        <v>0.57890987114845938</v>
      </c>
      <c r="M10" s="28">
        <v>628695.55000000005</v>
      </c>
      <c r="N10" s="25">
        <f t="shared" si="3"/>
        <v>-710054.45</v>
      </c>
      <c r="O10" s="18">
        <f t="shared" si="24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25"/>
        <v>1.1892632306255835</v>
      </c>
      <c r="T10" s="28">
        <v>252033.57</v>
      </c>
      <c r="U10" s="25">
        <f t="shared" si="5"/>
        <v>-1086716.43</v>
      </c>
      <c r="V10" s="18">
        <f t="shared" si="26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27"/>
        <v>1.1825044481792717</v>
      </c>
      <c r="AA10" s="28">
        <v>2214145.9300000002</v>
      </c>
      <c r="AB10" s="25">
        <f t="shared" si="7"/>
        <v>875395.93000000017</v>
      </c>
      <c r="AC10" s="47">
        <f t="shared" si="28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29"/>
        <v>0.32929548459383756</v>
      </c>
      <c r="AH10" s="28">
        <v>756675.73</v>
      </c>
      <c r="AI10" s="25">
        <f t="shared" si="9"/>
        <v>-582074.27</v>
      </c>
      <c r="AJ10" s="18">
        <f t="shared" si="30"/>
        <v>0.56521062931839405</v>
      </c>
      <c r="AK10" s="23">
        <v>1338750</v>
      </c>
      <c r="AL10" s="16">
        <v>272694.53000000003</v>
      </c>
      <c r="AM10" s="24">
        <f t="shared" si="10"/>
        <v>-1066055.47</v>
      </c>
      <c r="AN10" s="126">
        <f t="shared" si="31"/>
        <v>0.20369339309056958</v>
      </c>
      <c r="AO10" s="132">
        <v>104563.37</v>
      </c>
      <c r="AP10" s="131">
        <f t="shared" si="11"/>
        <v>-1234186.6299999999</v>
      </c>
      <c r="AQ10" s="126">
        <f t="shared" si="32"/>
        <v>7.8105225023342661E-2</v>
      </c>
      <c r="AR10" s="23">
        <v>1338750</v>
      </c>
      <c r="AS10" s="16">
        <v>431354.72</v>
      </c>
      <c r="AT10" s="24">
        <f t="shared" si="12"/>
        <v>-907395.28</v>
      </c>
      <c r="AU10" s="18">
        <f t="shared" si="33"/>
        <v>0.32220707376283847</v>
      </c>
      <c r="AV10" s="132">
        <v>212391.67</v>
      </c>
      <c r="AW10" s="131">
        <f t="shared" si="13"/>
        <v>-1126358.33</v>
      </c>
      <c r="AX10" s="18">
        <f t="shared" si="34"/>
        <v>0.15864923996265173</v>
      </c>
      <c r="AY10" s="23">
        <f t="shared" si="14"/>
        <v>9371250</v>
      </c>
      <c r="AZ10" s="23">
        <f t="shared" si="15"/>
        <v>5808168.3100000005</v>
      </c>
      <c r="BA10" s="24">
        <f t="shared" si="16"/>
        <v>-3563081.6899999995</v>
      </c>
      <c r="BB10" s="18">
        <f t="shared" si="35"/>
        <v>0.61978586741363217</v>
      </c>
      <c r="BC10" s="16">
        <f t="shared" si="17"/>
        <v>4891362.7700000005</v>
      </c>
      <c r="BD10" s="25">
        <f t="shared" si="18"/>
        <v>-4479887.2299999995</v>
      </c>
      <c r="BE10" s="18">
        <f t="shared" si="36"/>
        <v>0.5219541437908497</v>
      </c>
      <c r="BF10" s="16">
        <f t="shared" si="19"/>
        <v>829738.33000000007</v>
      </c>
      <c r="BG10" s="26">
        <f t="shared" si="20"/>
        <v>698766.1100000001</v>
      </c>
    </row>
    <row r="11" spans="1:59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21"/>
        <v>1.5186024201680672</v>
      </c>
      <c r="F11" s="28">
        <v>927392.51</v>
      </c>
      <c r="G11" s="25">
        <f t="shared" si="1"/>
        <v>-411357.49</v>
      </c>
      <c r="H11" s="108">
        <f t="shared" si="22"/>
        <v>0.69273016619981331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23"/>
        <v>1.2767597908496731</v>
      </c>
      <c r="M11" s="28">
        <v>365024.32</v>
      </c>
      <c r="N11" s="25">
        <f t="shared" si="3"/>
        <v>-973725.67999999993</v>
      </c>
      <c r="O11" s="18">
        <f t="shared" si="24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25"/>
        <v>0.45679382259570495</v>
      </c>
      <c r="T11" s="28">
        <v>615830.28</v>
      </c>
      <c r="U11" s="25">
        <f t="shared" si="5"/>
        <v>-722919.72</v>
      </c>
      <c r="V11" s="18">
        <f t="shared" si="26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27"/>
        <v>0.27551929785247437</v>
      </c>
      <c r="AA11" s="28">
        <v>381124.19</v>
      </c>
      <c r="AB11" s="25">
        <f t="shared" si="7"/>
        <v>-957625.81</v>
      </c>
      <c r="AC11" s="18">
        <f t="shared" si="28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29"/>
        <v>0.10908490009337068</v>
      </c>
      <c r="AH11" s="28">
        <v>125362.71</v>
      </c>
      <c r="AI11" s="25">
        <f t="shared" si="9"/>
        <v>-1213387.29</v>
      </c>
      <c r="AJ11" s="18">
        <f t="shared" si="30"/>
        <v>9.364161344537815E-2</v>
      </c>
      <c r="AK11" s="23">
        <v>1338750</v>
      </c>
      <c r="AL11" s="16">
        <v>1501000.36</v>
      </c>
      <c r="AM11" s="24">
        <f t="shared" si="10"/>
        <v>162250.3600000001</v>
      </c>
      <c r="AN11" s="47">
        <f t="shared" si="31"/>
        <v>1.1211954136321196</v>
      </c>
      <c r="AO11" s="132">
        <v>867471.76</v>
      </c>
      <c r="AP11" s="131">
        <f t="shared" si="11"/>
        <v>-471278.24</v>
      </c>
      <c r="AQ11" s="126">
        <f t="shared" si="32"/>
        <v>0.64797143604108309</v>
      </c>
      <c r="AR11" s="23">
        <v>1338750</v>
      </c>
      <c r="AS11" s="16">
        <v>1325161.8400000001</v>
      </c>
      <c r="AT11" s="24">
        <f t="shared" si="12"/>
        <v>-13588.159999999916</v>
      </c>
      <c r="AU11" s="18">
        <f t="shared" si="33"/>
        <v>0.98985011391223166</v>
      </c>
      <c r="AV11" s="132">
        <v>935934.95</v>
      </c>
      <c r="AW11" s="131">
        <f t="shared" si="13"/>
        <v>-402815.05000000005</v>
      </c>
      <c r="AX11" s="18">
        <f t="shared" si="34"/>
        <v>0.69911107376283843</v>
      </c>
      <c r="AY11" s="23">
        <f t="shared" si="14"/>
        <v>9371250</v>
      </c>
      <c r="AZ11" s="23">
        <f t="shared" si="15"/>
        <v>7694874.9600000009</v>
      </c>
      <c r="BA11" s="24">
        <f t="shared" si="16"/>
        <v>-1676375.0399999991</v>
      </c>
      <c r="BB11" s="18">
        <f t="shared" si="35"/>
        <v>0.82111510844337743</v>
      </c>
      <c r="BC11" s="16">
        <f t="shared" si="17"/>
        <v>4218140.7200000007</v>
      </c>
      <c r="BD11" s="25">
        <f t="shared" si="18"/>
        <v>-5153109.2799999993</v>
      </c>
      <c r="BE11" s="18">
        <f t="shared" si="36"/>
        <v>0.45011505615579572</v>
      </c>
      <c r="BF11" s="16">
        <f t="shared" si="19"/>
        <v>1099267.8514285716</v>
      </c>
      <c r="BG11" s="26">
        <f t="shared" si="20"/>
        <v>602591.53142857156</v>
      </c>
    </row>
    <row r="12" spans="1:59" x14ac:dyDescent="0.3">
      <c r="A12" s="22" t="s">
        <v>54</v>
      </c>
      <c r="B12" s="23"/>
      <c r="C12" s="16"/>
      <c r="D12" s="24"/>
      <c r="E12" s="47"/>
      <c r="F12" s="28"/>
      <c r="G12" s="25"/>
      <c r="H12" s="108"/>
      <c r="I12" s="109"/>
      <c r="J12" s="107"/>
      <c r="K12" s="24"/>
      <c r="L12" s="105"/>
      <c r="M12" s="28"/>
      <c r="N12" s="25"/>
      <c r="O12" s="18"/>
      <c r="P12" s="23"/>
      <c r="Q12" s="16"/>
      <c r="R12" s="24"/>
      <c r="S12" s="18"/>
      <c r="T12" s="28"/>
      <c r="U12" s="25"/>
      <c r="V12" s="18"/>
      <c r="W12" s="23"/>
      <c r="X12" s="16"/>
      <c r="Y12" s="24"/>
      <c r="Z12" s="18"/>
      <c r="AA12" s="28"/>
      <c r="AB12" s="25"/>
      <c r="AC12" s="18"/>
      <c r="AD12" s="23"/>
      <c r="AE12" s="16"/>
      <c r="AF12" s="24"/>
      <c r="AG12" s="18"/>
      <c r="AH12" s="28"/>
      <c r="AI12" s="25"/>
      <c r="AJ12" s="18"/>
      <c r="AK12" s="23">
        <v>100000</v>
      </c>
      <c r="AL12" s="16">
        <v>77926.22</v>
      </c>
      <c r="AM12" s="24">
        <f t="shared" si="10"/>
        <v>-22073.78</v>
      </c>
      <c r="AN12" s="126">
        <f t="shared" si="31"/>
        <v>0.77926220000000002</v>
      </c>
      <c r="AO12" s="132">
        <v>96150.06</v>
      </c>
      <c r="AP12" s="131">
        <f t="shared" si="11"/>
        <v>-3849.9400000000023</v>
      </c>
      <c r="AQ12" s="126">
        <f t="shared" si="32"/>
        <v>0.96150059999999993</v>
      </c>
      <c r="AR12" s="23">
        <v>150000</v>
      </c>
      <c r="AS12" s="16">
        <v>19318.25</v>
      </c>
      <c r="AT12" s="24">
        <f t="shared" si="12"/>
        <v>-130681.75</v>
      </c>
      <c r="AU12" s="18">
        <f t="shared" si="33"/>
        <v>0.12878833333333334</v>
      </c>
      <c r="AV12" s="132"/>
      <c r="AW12" s="131">
        <f t="shared" si="13"/>
        <v>-150000</v>
      </c>
      <c r="AX12" s="18">
        <f t="shared" si="34"/>
        <v>0</v>
      </c>
      <c r="AY12" s="23">
        <f t="shared" si="14"/>
        <v>250000</v>
      </c>
      <c r="AZ12" s="23">
        <f t="shared" si="15"/>
        <v>97244.47</v>
      </c>
      <c r="BA12" s="24">
        <f t="shared" si="16"/>
        <v>-152755.53</v>
      </c>
      <c r="BB12" s="18"/>
      <c r="BC12" s="16">
        <f t="shared" si="17"/>
        <v>96150.06</v>
      </c>
      <c r="BD12" s="25">
        <f t="shared" si="18"/>
        <v>-153849.94</v>
      </c>
      <c r="BE12" s="18"/>
      <c r="BF12" s="16">
        <f t="shared" si="19"/>
        <v>13892.067142857142</v>
      </c>
      <c r="BG12" s="26">
        <f t="shared" si="20"/>
        <v>13735.722857142857</v>
      </c>
    </row>
    <row r="13" spans="1:59" x14ac:dyDescent="0.3">
      <c r="A13" s="22" t="s">
        <v>16</v>
      </c>
      <c r="B13" s="23">
        <v>1338750</v>
      </c>
      <c r="C13" s="16"/>
      <c r="D13" s="24">
        <f t="shared" si="0"/>
        <v>-1338750</v>
      </c>
      <c r="E13" s="18">
        <f t="shared" si="21"/>
        <v>0</v>
      </c>
      <c r="F13" s="28"/>
      <c r="G13" s="25">
        <f t="shared" si="1"/>
        <v>-1338750</v>
      </c>
      <c r="H13" s="18">
        <f t="shared" si="22"/>
        <v>0</v>
      </c>
      <c r="I13" s="23">
        <v>1338750</v>
      </c>
      <c r="J13" s="16">
        <v>8745.0499999999993</v>
      </c>
      <c r="K13" s="24">
        <f t="shared" si="2"/>
        <v>-1330004.95</v>
      </c>
      <c r="L13" s="18">
        <f t="shared" si="23"/>
        <v>6.5322502334267032E-3</v>
      </c>
      <c r="M13" s="28">
        <v>11537.74</v>
      </c>
      <c r="N13" s="25">
        <f t="shared" si="3"/>
        <v>-1327212.26</v>
      </c>
      <c r="O13" s="18">
        <f t="shared" si="24"/>
        <v>8.6182931839402423E-3</v>
      </c>
      <c r="P13" s="23">
        <v>1338750</v>
      </c>
      <c r="Q13" s="16">
        <v>120604.3</v>
      </c>
      <c r="R13" s="24">
        <f t="shared" si="4"/>
        <v>-1218145.7</v>
      </c>
      <c r="S13" s="18">
        <f t="shared" si="25"/>
        <v>9.0087245564892629E-2</v>
      </c>
      <c r="T13" s="28">
        <v>89914.14</v>
      </c>
      <c r="U13" s="25">
        <f t="shared" si="5"/>
        <v>-1248835.8600000001</v>
      </c>
      <c r="V13" s="18">
        <f t="shared" si="26"/>
        <v>6.7162756302521012E-2</v>
      </c>
      <c r="W13" s="23">
        <v>1338750</v>
      </c>
      <c r="X13" s="16">
        <v>51094.76</v>
      </c>
      <c r="Y13" s="24">
        <f t="shared" si="6"/>
        <v>-1287655.24</v>
      </c>
      <c r="Z13" s="18">
        <f t="shared" si="27"/>
        <v>3.8166020541549953E-2</v>
      </c>
      <c r="AA13" s="28"/>
      <c r="AB13" s="25">
        <f t="shared" si="7"/>
        <v>-1338750</v>
      </c>
      <c r="AC13" s="18">
        <f t="shared" si="28"/>
        <v>0</v>
      </c>
      <c r="AD13" s="23">
        <v>1338750</v>
      </c>
      <c r="AE13" s="16">
        <v>46220.78</v>
      </c>
      <c r="AF13" s="24">
        <f t="shared" si="8"/>
        <v>-1292529.22</v>
      </c>
      <c r="AG13" s="18">
        <f t="shared" si="29"/>
        <v>3.4525325863678805E-2</v>
      </c>
      <c r="AH13" s="28">
        <v>214363.17</v>
      </c>
      <c r="AI13" s="25">
        <f t="shared" si="9"/>
        <v>-1124386.83</v>
      </c>
      <c r="AJ13" s="18">
        <f t="shared" si="30"/>
        <v>0.1601218823529412</v>
      </c>
      <c r="AK13" s="23">
        <v>1338750</v>
      </c>
      <c r="AL13" s="16">
        <v>143506.5</v>
      </c>
      <c r="AM13" s="24">
        <f t="shared" si="10"/>
        <v>-1195243.5</v>
      </c>
      <c r="AN13" s="126">
        <f t="shared" si="31"/>
        <v>0.10719439775910364</v>
      </c>
      <c r="AO13" s="132">
        <v>111180.83</v>
      </c>
      <c r="AP13" s="131">
        <f t="shared" si="11"/>
        <v>-1227569.17</v>
      </c>
      <c r="AQ13" s="126">
        <f t="shared" si="32"/>
        <v>8.3048239028944912E-2</v>
      </c>
      <c r="AR13" s="23">
        <v>1338750</v>
      </c>
      <c r="AS13" s="16">
        <v>218278.76</v>
      </c>
      <c r="AT13" s="24">
        <f t="shared" si="12"/>
        <v>-1120471.24</v>
      </c>
      <c r="AU13" s="18">
        <f t="shared" ref="AU13" si="37">+AS13/AR13</f>
        <v>0.16304669281045753</v>
      </c>
      <c r="AV13" s="132">
        <v>22367.5</v>
      </c>
      <c r="AW13" s="131">
        <f t="shared" si="13"/>
        <v>-1316382.5</v>
      </c>
      <c r="AX13" s="18">
        <f t="shared" ref="AX13" si="38">+AV13/AR13</f>
        <v>1.6707749766573295E-2</v>
      </c>
      <c r="AY13" s="23">
        <f t="shared" si="14"/>
        <v>9371250</v>
      </c>
      <c r="AZ13" s="23">
        <f t="shared" si="15"/>
        <v>588450.15</v>
      </c>
      <c r="BA13" s="24">
        <f t="shared" si="16"/>
        <v>-8782799.8499999996</v>
      </c>
      <c r="BB13" s="18">
        <f t="shared" si="35"/>
        <v>6.2793133253301325E-2</v>
      </c>
      <c r="BC13" s="16">
        <f t="shared" si="17"/>
        <v>449363.38000000006</v>
      </c>
      <c r="BD13" s="25">
        <f t="shared" si="18"/>
        <v>-8921886.6199999992</v>
      </c>
      <c r="BE13" s="18">
        <f t="shared" si="36"/>
        <v>4.795127437641724E-2</v>
      </c>
      <c r="BF13" s="16">
        <f t="shared" si="19"/>
        <v>84064.307142857142</v>
      </c>
      <c r="BG13" s="26">
        <f t="shared" si="20"/>
        <v>64194.768571428584</v>
      </c>
    </row>
    <row r="14" spans="1:59" x14ac:dyDescent="0.3">
      <c r="A14" s="22" t="s">
        <v>17</v>
      </c>
      <c r="B14" s="23"/>
      <c r="C14" s="16">
        <v>87046.92</v>
      </c>
      <c r="D14" s="24">
        <f t="shared" si="0"/>
        <v>87046.92</v>
      </c>
      <c r="E14" s="18"/>
      <c r="F14" s="28"/>
      <c r="G14" s="25">
        <f>+F14-B14</f>
        <v>0</v>
      </c>
      <c r="H14" s="18"/>
      <c r="I14" s="23"/>
      <c r="J14" s="16">
        <v>115746.49</v>
      </c>
      <c r="K14" s="24">
        <f t="shared" si="2"/>
        <v>115746.49</v>
      </c>
      <c r="L14" s="18"/>
      <c r="M14" s="28"/>
      <c r="N14" s="25">
        <f>+M14-I14</f>
        <v>0</v>
      </c>
      <c r="O14" s="18"/>
      <c r="P14" s="23"/>
      <c r="Q14" s="16">
        <v>91092.4</v>
      </c>
      <c r="R14" s="24">
        <f t="shared" si="4"/>
        <v>91092.4</v>
      </c>
      <c r="S14" s="18"/>
      <c r="T14" s="28"/>
      <c r="U14" s="25">
        <f>+T14-P14</f>
        <v>0</v>
      </c>
      <c r="V14" s="18"/>
      <c r="W14" s="23"/>
      <c r="X14" s="16"/>
      <c r="Y14" s="24">
        <f t="shared" si="6"/>
        <v>0</v>
      </c>
      <c r="Z14" s="18"/>
      <c r="AA14" s="28"/>
      <c r="AB14" s="25">
        <f>+AA14-W14</f>
        <v>0</v>
      </c>
      <c r="AC14" s="18"/>
      <c r="AD14" s="23"/>
      <c r="AE14" s="16">
        <v>0</v>
      </c>
      <c r="AF14" s="24">
        <f t="shared" si="8"/>
        <v>0</v>
      </c>
      <c r="AG14" s="18"/>
      <c r="AH14" s="28"/>
      <c r="AI14" s="25">
        <f>+AH14-AD14</f>
        <v>0</v>
      </c>
      <c r="AJ14" s="18"/>
      <c r="AK14" s="23"/>
      <c r="AL14" s="16">
        <v>1358.5</v>
      </c>
      <c r="AM14" s="24">
        <f t="shared" si="10"/>
        <v>1358.5</v>
      </c>
      <c r="AN14" s="126"/>
      <c r="AO14" s="132"/>
      <c r="AP14" s="131">
        <f>+AO14-AK14</f>
        <v>0</v>
      </c>
      <c r="AQ14" s="126"/>
      <c r="AR14" s="23"/>
      <c r="AS14" s="16"/>
      <c r="AT14" s="24">
        <f t="shared" si="12"/>
        <v>0</v>
      </c>
      <c r="AU14" s="18"/>
      <c r="AV14" s="132"/>
      <c r="AW14" s="131">
        <f>+AV14-AR14</f>
        <v>0</v>
      </c>
      <c r="AX14" s="18"/>
      <c r="AY14" s="23">
        <f t="shared" si="14"/>
        <v>0</v>
      </c>
      <c r="AZ14" s="23">
        <f t="shared" si="15"/>
        <v>295244.31</v>
      </c>
      <c r="BA14" s="24">
        <f t="shared" si="16"/>
        <v>295244.31</v>
      </c>
      <c r="BB14" s="18"/>
      <c r="BC14" s="16">
        <f t="shared" si="17"/>
        <v>0</v>
      </c>
      <c r="BD14" s="25">
        <f t="shared" si="18"/>
        <v>0</v>
      </c>
      <c r="BE14" s="18"/>
      <c r="BF14" s="16">
        <f t="shared" si="19"/>
        <v>42177.758571428574</v>
      </c>
      <c r="BG14" s="26">
        <f t="shared" si="20"/>
        <v>0</v>
      </c>
    </row>
    <row r="15" spans="1:59" x14ac:dyDescent="0.3">
      <c r="A15" s="22" t="s">
        <v>18</v>
      </c>
      <c r="B15" s="23">
        <v>1338750</v>
      </c>
      <c r="C15" s="16">
        <v>61312.93</v>
      </c>
      <c r="D15" s="24">
        <f t="shared" si="0"/>
        <v>-1277437.07</v>
      </c>
      <c r="E15" s="18">
        <f t="shared" ref="E15:E19" si="39">+C15/B15</f>
        <v>4.5798640522875821E-2</v>
      </c>
      <c r="F15" s="28">
        <v>100067.31</v>
      </c>
      <c r="G15" s="25">
        <f t="shared" si="1"/>
        <v>-1238682.69</v>
      </c>
      <c r="H15" s="18">
        <f t="shared" si="22"/>
        <v>7.4746823529411768E-2</v>
      </c>
      <c r="I15" s="23">
        <v>1338750</v>
      </c>
      <c r="J15" s="16">
        <v>198933.59</v>
      </c>
      <c r="K15" s="24">
        <f t="shared" si="2"/>
        <v>-1139816.4099999999</v>
      </c>
      <c r="L15" s="18">
        <f t="shared" ref="L15:L19" si="40">+J15/I15</f>
        <v>0.14859651914098973</v>
      </c>
      <c r="M15" s="28">
        <v>70010.070000000007</v>
      </c>
      <c r="N15" s="25">
        <f t="shared" ref="N15:N19" si="41">+M15-I15</f>
        <v>-1268739.93</v>
      </c>
      <c r="O15" s="18">
        <f t="shared" ref="O15:O19" si="42">+M15/I15</f>
        <v>5.2295103641456585E-2</v>
      </c>
      <c r="P15" s="23">
        <v>1338750</v>
      </c>
      <c r="Q15" s="16">
        <v>292575.34999999998</v>
      </c>
      <c r="R15" s="24">
        <f t="shared" si="4"/>
        <v>-1046174.65</v>
      </c>
      <c r="S15" s="18">
        <f t="shared" ref="S15:S19" si="43">+Q15/P15</f>
        <v>0.21854367880485526</v>
      </c>
      <c r="T15" s="28">
        <v>315180.46999999997</v>
      </c>
      <c r="U15" s="25">
        <f t="shared" ref="U15:U19" si="44">+T15-P15</f>
        <v>-1023569.53</v>
      </c>
      <c r="V15" s="18">
        <f t="shared" ref="V15:V19" si="45">+T15/P15</f>
        <v>0.23542892250233424</v>
      </c>
      <c r="W15" s="23">
        <v>1338750</v>
      </c>
      <c r="X15" s="16">
        <v>573857.67000000004</v>
      </c>
      <c r="Y15" s="24">
        <f t="shared" si="6"/>
        <v>-764892.33</v>
      </c>
      <c r="Z15" s="18">
        <f t="shared" ref="Z15" si="46">+X15/W15</f>
        <v>0.42865185434173675</v>
      </c>
      <c r="AA15" s="28">
        <v>274355.09000000003</v>
      </c>
      <c r="AB15" s="25">
        <f t="shared" ref="AB15:AB19" si="47">+AA15-W15</f>
        <v>-1064394.9099999999</v>
      </c>
      <c r="AC15" s="18">
        <f t="shared" ref="AC15" si="48">+AA15/W15</f>
        <v>0.20493377404295055</v>
      </c>
      <c r="AD15" s="23">
        <v>1338750</v>
      </c>
      <c r="AE15" s="16">
        <v>488350.75</v>
      </c>
      <c r="AF15" s="24">
        <f t="shared" si="8"/>
        <v>-850399.25</v>
      </c>
      <c r="AG15" s="18">
        <f t="shared" ref="AG15" si="49">+AE15/AD15</f>
        <v>0.36478113912231558</v>
      </c>
      <c r="AH15" s="28">
        <v>1278513.6599999999</v>
      </c>
      <c r="AI15" s="25">
        <f t="shared" ref="AI15:AI19" si="50">+AH15-AD15</f>
        <v>-60236.340000000084</v>
      </c>
      <c r="AJ15" s="18">
        <f t="shared" ref="AJ15" si="51">+AH15/AD15</f>
        <v>0.95500553501400554</v>
      </c>
      <c r="AK15" s="23">
        <v>1338750</v>
      </c>
      <c r="AL15" s="16">
        <v>1840443.58</v>
      </c>
      <c r="AM15" s="24">
        <f t="shared" si="10"/>
        <v>501693.58000000007</v>
      </c>
      <c r="AN15" s="47">
        <f t="shared" ref="AN15" si="52">+AL15/AK15</f>
        <v>1.374747772175537</v>
      </c>
      <c r="AO15" s="132">
        <v>2176517.37</v>
      </c>
      <c r="AP15" s="131">
        <f t="shared" ref="AP15:AP19" si="53">+AO15-AK15</f>
        <v>837767.37000000011</v>
      </c>
      <c r="AQ15" s="47">
        <f t="shared" ref="AQ15" si="54">+AO15/AK15</f>
        <v>1.6257832829131653</v>
      </c>
      <c r="AR15" s="23">
        <v>1338750</v>
      </c>
      <c r="AS15" s="16">
        <v>940159.19</v>
      </c>
      <c r="AT15" s="24">
        <f t="shared" si="12"/>
        <v>-398590.81000000006</v>
      </c>
      <c r="AU15" s="18">
        <f t="shared" ref="AU15" si="55">+AS15/AR15</f>
        <v>0.7022664351073763</v>
      </c>
      <c r="AV15" s="132">
        <v>876611.35</v>
      </c>
      <c r="AW15" s="131">
        <f t="shared" ref="AW15:AW19" si="56">+AV15-AR15</f>
        <v>-462138.65</v>
      </c>
      <c r="AX15" s="18">
        <f t="shared" ref="AX15" si="57">+AV15/AR15</f>
        <v>0.65479839402427631</v>
      </c>
      <c r="AY15" s="23">
        <f t="shared" si="14"/>
        <v>9371250</v>
      </c>
      <c r="AZ15" s="23">
        <f t="shared" si="15"/>
        <v>4395633.0600000005</v>
      </c>
      <c r="BA15" s="24">
        <f t="shared" si="16"/>
        <v>-4975616.9399999995</v>
      </c>
      <c r="BB15" s="18">
        <f t="shared" si="35"/>
        <v>0.46905514845938379</v>
      </c>
      <c r="BC15" s="16">
        <f t="shared" si="17"/>
        <v>5091255.3199999994</v>
      </c>
      <c r="BD15" s="25">
        <f t="shared" si="18"/>
        <v>-4279994.6800000006</v>
      </c>
      <c r="BE15" s="18">
        <f t="shared" si="36"/>
        <v>0.54328454795251424</v>
      </c>
      <c r="BF15" s="16">
        <f t="shared" si="19"/>
        <v>627947.58000000007</v>
      </c>
      <c r="BG15" s="26">
        <f t="shared" si="20"/>
        <v>727322.18857142853</v>
      </c>
    </row>
    <row r="16" spans="1:59" x14ac:dyDescent="0.3">
      <c r="A16" s="153" t="s">
        <v>19</v>
      </c>
      <c r="B16" s="23">
        <v>400000</v>
      </c>
      <c r="C16" s="16">
        <v>29901.71</v>
      </c>
      <c r="D16" s="24">
        <f t="shared" si="0"/>
        <v>-370098.29</v>
      </c>
      <c r="E16" s="18">
        <f t="shared" si="39"/>
        <v>7.4754274999999995E-2</v>
      </c>
      <c r="F16" s="28">
        <v>24830.18</v>
      </c>
      <c r="G16" s="25">
        <f t="shared" si="1"/>
        <v>-375169.82</v>
      </c>
      <c r="H16" s="18">
        <f t="shared" si="22"/>
        <v>6.2075449999999997E-2</v>
      </c>
      <c r="I16" s="23">
        <v>450000</v>
      </c>
      <c r="J16" s="16">
        <v>17492.240000000002</v>
      </c>
      <c r="K16" s="24">
        <f t="shared" si="2"/>
        <v>-432507.76</v>
      </c>
      <c r="L16" s="18">
        <f t="shared" si="40"/>
        <v>3.887164444444445E-2</v>
      </c>
      <c r="M16" s="28">
        <v>17490.080000000002</v>
      </c>
      <c r="N16" s="25">
        <f t="shared" si="41"/>
        <v>-432509.92</v>
      </c>
      <c r="O16" s="18">
        <f t="shared" si="42"/>
        <v>3.8866844444444451E-2</v>
      </c>
      <c r="P16" s="23"/>
      <c r="Q16" s="16"/>
      <c r="R16" s="24">
        <f t="shared" si="4"/>
        <v>0</v>
      </c>
      <c r="S16" s="18"/>
      <c r="T16" s="28"/>
      <c r="U16" s="25">
        <f t="shared" si="44"/>
        <v>0</v>
      </c>
      <c r="V16" s="18"/>
      <c r="W16" s="23"/>
      <c r="X16" s="16"/>
      <c r="Y16" s="24">
        <f t="shared" si="6"/>
        <v>0</v>
      </c>
      <c r="Z16" s="18"/>
      <c r="AA16" s="28"/>
      <c r="AB16" s="25">
        <f t="shared" si="47"/>
        <v>0</v>
      </c>
      <c r="AC16" s="18"/>
      <c r="AD16" s="23"/>
      <c r="AE16" s="16"/>
      <c r="AF16" s="24">
        <f t="shared" si="8"/>
        <v>0</v>
      </c>
      <c r="AG16" s="18"/>
      <c r="AH16" s="28"/>
      <c r="AI16" s="25">
        <f t="shared" si="50"/>
        <v>0</v>
      </c>
      <c r="AJ16" s="18"/>
      <c r="AK16" s="23"/>
      <c r="AL16" s="16"/>
      <c r="AM16" s="24">
        <f t="shared" si="10"/>
        <v>0</v>
      </c>
      <c r="AN16" s="126"/>
      <c r="AO16" s="132"/>
      <c r="AP16" s="131">
        <f t="shared" si="53"/>
        <v>0</v>
      </c>
      <c r="AQ16" s="126"/>
      <c r="AR16" s="23"/>
      <c r="AS16" s="16"/>
      <c r="AT16" s="24">
        <f t="shared" si="12"/>
        <v>0</v>
      </c>
      <c r="AU16" s="18"/>
      <c r="AV16" s="132"/>
      <c r="AW16" s="131">
        <f t="shared" si="56"/>
        <v>0</v>
      </c>
      <c r="AX16" s="18"/>
      <c r="AY16" s="23">
        <f t="shared" si="14"/>
        <v>850000</v>
      </c>
      <c r="AZ16" s="23">
        <f t="shared" si="15"/>
        <v>47393.95</v>
      </c>
      <c r="BA16" s="24">
        <f t="shared" si="16"/>
        <v>-802606.05</v>
      </c>
      <c r="BB16" s="18">
        <f t="shared" si="35"/>
        <v>5.5757588235294114E-2</v>
      </c>
      <c r="BC16" s="16">
        <f t="shared" si="17"/>
        <v>42320.26</v>
      </c>
      <c r="BD16" s="25">
        <f t="shared" si="18"/>
        <v>-807679.74</v>
      </c>
      <c r="BE16" s="18">
        <f t="shared" si="36"/>
        <v>4.9788541176470594E-2</v>
      </c>
      <c r="BF16" s="16">
        <f t="shared" si="19"/>
        <v>6770.5642857142857</v>
      </c>
      <c r="BG16" s="26">
        <f t="shared" si="20"/>
        <v>6045.7514285714287</v>
      </c>
    </row>
    <row r="17" spans="1:59" x14ac:dyDescent="0.3">
      <c r="A17" s="22" t="s">
        <v>20</v>
      </c>
      <c r="B17" s="23">
        <v>1338750</v>
      </c>
      <c r="C17" s="16">
        <v>110791.25</v>
      </c>
      <c r="D17" s="24">
        <f t="shared" si="0"/>
        <v>-1227958.75</v>
      </c>
      <c r="E17" s="18">
        <f t="shared" si="39"/>
        <v>8.2757236227824466E-2</v>
      </c>
      <c r="F17" s="28">
        <v>136979.66</v>
      </c>
      <c r="G17" s="25">
        <f t="shared" si="1"/>
        <v>-1201770.3400000001</v>
      </c>
      <c r="H17" s="18">
        <f t="shared" si="22"/>
        <v>0.10231907376283847</v>
      </c>
      <c r="I17" s="23">
        <v>1338750</v>
      </c>
      <c r="J17" s="16">
        <v>78051.38</v>
      </c>
      <c r="K17" s="24">
        <f t="shared" si="2"/>
        <v>-1260698.6200000001</v>
      </c>
      <c r="L17" s="18">
        <f t="shared" si="40"/>
        <v>5.8301684407096176E-2</v>
      </c>
      <c r="M17" s="28">
        <v>40912.379999999997</v>
      </c>
      <c r="N17" s="25">
        <f t="shared" si="41"/>
        <v>-1297837.6200000001</v>
      </c>
      <c r="O17" s="18">
        <f t="shared" si="42"/>
        <v>3.0560134453781512E-2</v>
      </c>
      <c r="P17" s="23">
        <v>1338750</v>
      </c>
      <c r="Q17" s="16">
        <v>506672.98</v>
      </c>
      <c r="R17" s="24">
        <f t="shared" si="4"/>
        <v>-832077.02</v>
      </c>
      <c r="S17" s="18">
        <f t="shared" si="43"/>
        <v>0.37846721195144722</v>
      </c>
      <c r="T17" s="28">
        <v>952568.93</v>
      </c>
      <c r="U17" s="25">
        <f t="shared" si="44"/>
        <v>-386181.06999999995</v>
      </c>
      <c r="V17" s="18">
        <f t="shared" si="45"/>
        <v>0.7115360821661999</v>
      </c>
      <c r="W17" s="23">
        <v>1338750</v>
      </c>
      <c r="X17" s="16">
        <v>1183557.54</v>
      </c>
      <c r="Y17" s="24">
        <f t="shared" si="6"/>
        <v>-155192.45999999996</v>
      </c>
      <c r="Z17" s="18">
        <f t="shared" ref="Z17:Z19" si="58">+X17/W17</f>
        <v>0.88407659383753501</v>
      </c>
      <c r="AA17" s="28">
        <v>1644577.69</v>
      </c>
      <c r="AB17" s="25">
        <f t="shared" si="47"/>
        <v>305827.68999999994</v>
      </c>
      <c r="AC17" s="47">
        <f t="shared" ref="AC17:AC19" si="59">+AA17/W17</f>
        <v>1.2284427189542484</v>
      </c>
      <c r="AD17" s="23">
        <v>1338750</v>
      </c>
      <c r="AE17" s="16">
        <v>108786.81</v>
      </c>
      <c r="AF17" s="24">
        <f t="shared" si="8"/>
        <v>-1229963.19</v>
      </c>
      <c r="AG17" s="18">
        <f t="shared" ref="AG17:AG19" si="60">+AE17/AD17</f>
        <v>8.1259988795518212E-2</v>
      </c>
      <c r="AH17" s="28">
        <v>140161.89000000001</v>
      </c>
      <c r="AI17" s="25">
        <f t="shared" si="50"/>
        <v>-1198588.1099999999</v>
      </c>
      <c r="AJ17" s="18">
        <f t="shared" ref="AJ17:AJ19" si="61">+AH17/AD17</f>
        <v>0.10469608963585435</v>
      </c>
      <c r="AK17" s="23">
        <v>1338750</v>
      </c>
      <c r="AL17" s="16">
        <v>74020.34</v>
      </c>
      <c r="AM17" s="24">
        <f t="shared" si="10"/>
        <v>-1264729.6599999999</v>
      </c>
      <c r="AN17" s="126">
        <f t="shared" ref="AN17:AN19" si="62">+AL17/AK17</f>
        <v>5.5290636788048547E-2</v>
      </c>
      <c r="AO17" s="132">
        <v>146005.68</v>
      </c>
      <c r="AP17" s="131">
        <f t="shared" si="53"/>
        <v>-1192744.32</v>
      </c>
      <c r="AQ17" s="126">
        <f t="shared" ref="AQ17:AQ19" si="63">+AO17/AK17</f>
        <v>0.10906119887955182</v>
      </c>
      <c r="AR17" s="23">
        <v>1338750</v>
      </c>
      <c r="AS17" s="16">
        <v>1062229.75</v>
      </c>
      <c r="AT17" s="24">
        <f t="shared" si="12"/>
        <v>-276520.25</v>
      </c>
      <c r="AU17" s="18">
        <f t="shared" ref="AU17:AU19" si="64">+AS17/AR17</f>
        <v>0.79344892623716157</v>
      </c>
      <c r="AV17" s="132">
        <v>232860.09</v>
      </c>
      <c r="AW17" s="131">
        <f t="shared" si="56"/>
        <v>-1105889.9099999999</v>
      </c>
      <c r="AX17" s="18">
        <f t="shared" ref="AX17:AX19" si="65">+AV17/AR17</f>
        <v>0.17393844257703081</v>
      </c>
      <c r="AY17" s="23">
        <f t="shared" si="14"/>
        <v>9371250</v>
      </c>
      <c r="AZ17" s="23">
        <f t="shared" si="15"/>
        <v>3124110.05</v>
      </c>
      <c r="BA17" s="24">
        <f t="shared" si="16"/>
        <v>-6247139.9500000002</v>
      </c>
      <c r="BB17" s="18">
        <f t="shared" si="35"/>
        <v>0.33337175403494729</v>
      </c>
      <c r="BC17" s="16">
        <f t="shared" si="17"/>
        <v>3294066.3200000003</v>
      </c>
      <c r="BD17" s="25">
        <f t="shared" si="18"/>
        <v>-6077183.6799999997</v>
      </c>
      <c r="BE17" s="18">
        <f t="shared" si="36"/>
        <v>0.35150767720421505</v>
      </c>
      <c r="BF17" s="16">
        <f t="shared" si="19"/>
        <v>446301.4357142857</v>
      </c>
      <c r="BG17" s="26">
        <f t="shared" si="20"/>
        <v>470580.90285714291</v>
      </c>
    </row>
    <row r="18" spans="1:59" x14ac:dyDescent="0.3">
      <c r="A18" s="22" t="s">
        <v>21</v>
      </c>
      <c r="B18" s="23">
        <v>1338750</v>
      </c>
      <c r="C18" s="16">
        <v>2188130.21</v>
      </c>
      <c r="D18" s="24">
        <f t="shared" si="0"/>
        <v>849380.21</v>
      </c>
      <c r="E18" s="47">
        <f t="shared" si="39"/>
        <v>1.6344576732026144</v>
      </c>
      <c r="F18" s="29">
        <v>388875.15</v>
      </c>
      <c r="G18" s="25">
        <f t="shared" si="1"/>
        <v>-949874.85</v>
      </c>
      <c r="H18" s="18">
        <f t="shared" si="22"/>
        <v>0.29047630252100842</v>
      </c>
      <c r="I18" s="23">
        <v>1338750</v>
      </c>
      <c r="J18" s="16">
        <v>16172227.199999999</v>
      </c>
      <c r="K18" s="24">
        <f t="shared" si="2"/>
        <v>14833477.199999999</v>
      </c>
      <c r="L18" s="47">
        <f t="shared" si="40"/>
        <v>12.080095014005602</v>
      </c>
      <c r="M18" s="29">
        <v>5659626.5</v>
      </c>
      <c r="N18" s="25">
        <f t="shared" si="41"/>
        <v>4320876.5</v>
      </c>
      <c r="O18" s="47">
        <f t="shared" si="42"/>
        <v>4.2275454715219425</v>
      </c>
      <c r="P18" s="23">
        <v>1338750</v>
      </c>
      <c r="Q18" s="16">
        <v>5101264.1900000004</v>
      </c>
      <c r="R18" s="24">
        <f t="shared" si="4"/>
        <v>3762514.1900000004</v>
      </c>
      <c r="S18" s="47">
        <f t="shared" si="43"/>
        <v>3.8104681157796456</v>
      </c>
      <c r="T18" s="28">
        <v>1892875.05</v>
      </c>
      <c r="U18" s="25">
        <f t="shared" si="44"/>
        <v>554125.05000000005</v>
      </c>
      <c r="V18" s="47">
        <f t="shared" si="45"/>
        <v>1.4139122689075632</v>
      </c>
      <c r="W18" s="23">
        <v>1338750</v>
      </c>
      <c r="X18" s="16">
        <v>2461509.7799999998</v>
      </c>
      <c r="Y18" s="24">
        <f t="shared" si="6"/>
        <v>1122759.7799999998</v>
      </c>
      <c r="Z18" s="47">
        <f t="shared" si="58"/>
        <v>1.8386627675070026</v>
      </c>
      <c r="AA18" s="29">
        <v>3085661.51</v>
      </c>
      <c r="AB18" s="25">
        <f t="shared" si="47"/>
        <v>1746911.5099999998</v>
      </c>
      <c r="AC18" s="47">
        <f t="shared" si="59"/>
        <v>2.3048825471521939</v>
      </c>
      <c r="AD18" s="23">
        <v>1338750</v>
      </c>
      <c r="AE18" s="16">
        <v>1320118.92</v>
      </c>
      <c r="AF18" s="24">
        <f t="shared" si="8"/>
        <v>-18631.080000000075</v>
      </c>
      <c r="AG18" s="18">
        <f t="shared" si="60"/>
        <v>0.98608322689075623</v>
      </c>
      <c r="AH18" s="29">
        <v>3752930.45</v>
      </c>
      <c r="AI18" s="25">
        <f t="shared" si="50"/>
        <v>2414180.4500000002</v>
      </c>
      <c r="AJ18" s="47">
        <f t="shared" si="61"/>
        <v>2.8033093930905695</v>
      </c>
      <c r="AK18" s="23">
        <v>1338750</v>
      </c>
      <c r="AL18" s="16">
        <v>5457058.8799999999</v>
      </c>
      <c r="AM18" s="24">
        <f t="shared" si="10"/>
        <v>4118308.88</v>
      </c>
      <c r="AN18" s="47">
        <f t="shared" si="62"/>
        <v>4.0762344575163398</v>
      </c>
      <c r="AO18" s="130">
        <v>1054013.69</v>
      </c>
      <c r="AP18" s="131">
        <f t="shared" si="53"/>
        <v>-284736.31000000006</v>
      </c>
      <c r="AQ18" s="126">
        <f t="shared" si="63"/>
        <v>0.78731181325863675</v>
      </c>
      <c r="AR18" s="23">
        <v>1338750</v>
      </c>
      <c r="AS18" s="16">
        <v>1212046.08</v>
      </c>
      <c r="AT18" s="24">
        <f t="shared" si="12"/>
        <v>-126703.91999999993</v>
      </c>
      <c r="AU18" s="18">
        <f t="shared" si="64"/>
        <v>0.90535654901960794</v>
      </c>
      <c r="AV18" s="130">
        <v>663334.91</v>
      </c>
      <c r="AW18" s="131">
        <f t="shared" si="56"/>
        <v>-675415.09</v>
      </c>
      <c r="AX18" s="18">
        <f t="shared" si="65"/>
        <v>0.49548826143790853</v>
      </c>
      <c r="AY18" s="23">
        <f t="shared" si="14"/>
        <v>9371250</v>
      </c>
      <c r="AZ18" s="23">
        <f t="shared" si="15"/>
        <v>33912355.260000005</v>
      </c>
      <c r="BA18" s="24">
        <f t="shared" si="16"/>
        <v>24541105.260000005</v>
      </c>
      <c r="BB18" s="47">
        <f t="shared" si="35"/>
        <v>3.6187654005602248</v>
      </c>
      <c r="BC18" s="16">
        <f t="shared" si="17"/>
        <v>16497317.26</v>
      </c>
      <c r="BD18" s="25">
        <f t="shared" si="18"/>
        <v>7126067.2599999998</v>
      </c>
      <c r="BE18" s="47">
        <f t="shared" si="36"/>
        <v>1.7604180082699747</v>
      </c>
      <c r="BF18" s="16">
        <f t="shared" si="19"/>
        <v>4844622.1800000006</v>
      </c>
      <c r="BG18" s="26">
        <f t="shared" si="20"/>
        <v>2356759.6085714283</v>
      </c>
    </row>
    <row r="19" spans="1:59" x14ac:dyDescent="0.3">
      <c r="A19" s="22" t="s">
        <v>22</v>
      </c>
      <c r="B19" s="23">
        <v>500000</v>
      </c>
      <c r="C19" s="16">
        <v>552980.43000000005</v>
      </c>
      <c r="D19" s="24">
        <f t="shared" si="0"/>
        <v>52980.430000000051</v>
      </c>
      <c r="E19" s="47">
        <f t="shared" si="39"/>
        <v>1.1059608600000002</v>
      </c>
      <c r="F19" s="29">
        <v>551981.43000000005</v>
      </c>
      <c r="G19" s="25">
        <f t="shared" si="1"/>
        <v>51981.430000000051</v>
      </c>
      <c r="H19" s="47">
        <f t="shared" si="22"/>
        <v>1.1039628600000002</v>
      </c>
      <c r="I19" s="23">
        <v>550000</v>
      </c>
      <c r="J19" s="16">
        <v>1283683.3700000001</v>
      </c>
      <c r="K19" s="24">
        <f t="shared" si="2"/>
        <v>733683.37000000011</v>
      </c>
      <c r="L19" s="47">
        <f t="shared" si="40"/>
        <v>2.3339697636363637</v>
      </c>
      <c r="M19" s="29">
        <v>1508451.15</v>
      </c>
      <c r="N19" s="25">
        <f t="shared" si="41"/>
        <v>958451.14999999991</v>
      </c>
      <c r="O19" s="47">
        <f t="shared" si="42"/>
        <v>2.7426384545454545</v>
      </c>
      <c r="P19" s="23">
        <v>600000</v>
      </c>
      <c r="Q19" s="16">
        <v>884030.54</v>
      </c>
      <c r="R19" s="24">
        <f t="shared" si="4"/>
        <v>284030.54000000004</v>
      </c>
      <c r="S19" s="47">
        <f t="shared" si="43"/>
        <v>1.4733842333333333</v>
      </c>
      <c r="T19" s="29">
        <v>345604.95</v>
      </c>
      <c r="U19" s="25">
        <f t="shared" si="44"/>
        <v>-254395.05</v>
      </c>
      <c r="V19" s="18">
        <f t="shared" si="45"/>
        <v>0.57600825</v>
      </c>
      <c r="W19" s="23">
        <v>650000</v>
      </c>
      <c r="X19" s="16">
        <v>620234.69999999995</v>
      </c>
      <c r="Y19" s="24">
        <f t="shared" si="6"/>
        <v>-29765.300000000047</v>
      </c>
      <c r="Z19" s="18">
        <f t="shared" si="58"/>
        <v>0.95420723076923075</v>
      </c>
      <c r="AA19" s="29">
        <v>799583.03</v>
      </c>
      <c r="AB19" s="25">
        <f t="shared" si="47"/>
        <v>149583.03000000003</v>
      </c>
      <c r="AC19" s="47">
        <f t="shared" si="59"/>
        <v>1.2301277384615386</v>
      </c>
      <c r="AD19" s="23">
        <v>700000</v>
      </c>
      <c r="AE19" s="16">
        <v>805853.51</v>
      </c>
      <c r="AF19" s="24">
        <f t="shared" si="8"/>
        <v>105853.51000000001</v>
      </c>
      <c r="AG19" s="47">
        <f t="shared" si="60"/>
        <v>1.1512192999999999</v>
      </c>
      <c r="AH19" s="29">
        <v>600557.80000000005</v>
      </c>
      <c r="AI19" s="25">
        <f t="shared" si="50"/>
        <v>-99442.199999999953</v>
      </c>
      <c r="AJ19" s="18">
        <f t="shared" si="61"/>
        <v>0.85793971428571436</v>
      </c>
      <c r="AK19" s="23">
        <v>750000</v>
      </c>
      <c r="AL19" s="16">
        <v>577431.47</v>
      </c>
      <c r="AM19" s="24">
        <f t="shared" si="10"/>
        <v>-172568.53000000003</v>
      </c>
      <c r="AN19" s="126">
        <f t="shared" si="62"/>
        <v>0.7699086266666666</v>
      </c>
      <c r="AO19" s="130">
        <v>562600.11</v>
      </c>
      <c r="AP19" s="131">
        <f t="shared" si="53"/>
        <v>-187399.89</v>
      </c>
      <c r="AQ19" s="126">
        <f t="shared" si="63"/>
        <v>0.75013348000000002</v>
      </c>
      <c r="AR19" s="23">
        <v>800000</v>
      </c>
      <c r="AS19" s="16">
        <v>920347.23</v>
      </c>
      <c r="AT19" s="24">
        <f t="shared" si="12"/>
        <v>120347.22999999998</v>
      </c>
      <c r="AU19" s="47">
        <f t="shared" si="64"/>
        <v>1.1504340375</v>
      </c>
      <c r="AV19" s="130">
        <v>1659845.55</v>
      </c>
      <c r="AW19" s="131">
        <f t="shared" si="56"/>
        <v>859845.55</v>
      </c>
      <c r="AX19" s="47">
        <f t="shared" si="65"/>
        <v>2.0748069375</v>
      </c>
      <c r="AY19" s="23">
        <f t="shared" si="14"/>
        <v>4550000</v>
      </c>
      <c r="AZ19" s="23">
        <f t="shared" si="15"/>
        <v>5644561.25</v>
      </c>
      <c r="BA19" s="24">
        <f t="shared" si="16"/>
        <v>1094561.25</v>
      </c>
      <c r="BB19" s="47">
        <f t="shared" si="35"/>
        <v>1.240562912087912</v>
      </c>
      <c r="BC19" s="16">
        <f t="shared" si="17"/>
        <v>6028624.0200000005</v>
      </c>
      <c r="BD19" s="25">
        <f t="shared" si="18"/>
        <v>1478624.0200000005</v>
      </c>
      <c r="BE19" s="47">
        <f t="shared" si="36"/>
        <v>1.3249723120879122</v>
      </c>
      <c r="BF19" s="16">
        <f t="shared" si="19"/>
        <v>806365.89285714284</v>
      </c>
      <c r="BG19" s="26">
        <f t="shared" si="20"/>
        <v>861232.00285714294</v>
      </c>
    </row>
    <row r="20" spans="1:59" x14ac:dyDescent="0.3">
      <c r="A20" s="22" t="s">
        <v>26</v>
      </c>
      <c r="B20" s="23"/>
      <c r="C20" s="16">
        <v>60669.83</v>
      </c>
      <c r="D20" s="24">
        <f>+C20-B20</f>
        <v>60669.83</v>
      </c>
      <c r="E20" s="18"/>
      <c r="F20" s="28">
        <v>74635.009999999995</v>
      </c>
      <c r="G20" s="25">
        <f>+F20-B20</f>
        <v>74635.009999999995</v>
      </c>
      <c r="H20" s="18"/>
      <c r="I20" s="23"/>
      <c r="J20" s="16">
        <f>327.32+8787.51</f>
        <v>9114.83</v>
      </c>
      <c r="K20" s="24">
        <f>+J20-I20</f>
        <v>9114.83</v>
      </c>
      <c r="L20" s="18"/>
      <c r="M20" s="28">
        <v>5256.55</v>
      </c>
      <c r="N20" s="25">
        <f>+M20-I20</f>
        <v>5256.55</v>
      </c>
      <c r="O20" s="18"/>
      <c r="P20" s="23"/>
      <c r="Q20" s="16">
        <v>33104.07</v>
      </c>
      <c r="R20" s="24">
        <f>+Q20-P20</f>
        <v>33104.07</v>
      </c>
      <c r="S20" s="18"/>
      <c r="T20" s="28">
        <v>23024.37</v>
      </c>
      <c r="U20" s="25">
        <f>+T20-P20</f>
        <v>23024.37</v>
      </c>
      <c r="V20" s="18"/>
      <c r="W20" s="23"/>
      <c r="X20" s="16">
        <v>10029.39</v>
      </c>
      <c r="Y20" s="24">
        <f>+X20-W20</f>
        <v>10029.39</v>
      </c>
      <c r="Z20" s="18"/>
      <c r="AA20" s="28">
        <v>9296.48</v>
      </c>
      <c r="AB20" s="25">
        <f>+AA20-W20</f>
        <v>9296.48</v>
      </c>
      <c r="AC20" s="18"/>
      <c r="AD20" s="23"/>
      <c r="AE20" s="16">
        <v>19130.11</v>
      </c>
      <c r="AF20" s="24">
        <f>+AE20-AD20</f>
        <v>19130.11</v>
      </c>
      <c r="AG20" s="18"/>
      <c r="AH20" s="28">
        <v>19324.61</v>
      </c>
      <c r="AI20" s="25">
        <f>+AH20-AD20</f>
        <v>19324.61</v>
      </c>
      <c r="AJ20" s="18"/>
      <c r="AK20" s="23"/>
      <c r="AL20" s="16">
        <v>12918.1</v>
      </c>
      <c r="AM20" s="24">
        <f>+AL20-AK20</f>
        <v>12918.1</v>
      </c>
      <c r="AN20" s="126"/>
      <c r="AO20" s="132">
        <v>12883.06</v>
      </c>
      <c r="AP20" s="131">
        <f>+AO20-AK20</f>
        <v>12883.06</v>
      </c>
      <c r="AQ20" s="126"/>
      <c r="AR20" s="23"/>
      <c r="AS20" s="16">
        <v>12592.89</v>
      </c>
      <c r="AT20" s="24">
        <f>+AS20-AR20</f>
        <v>12592.89</v>
      </c>
      <c r="AU20" s="18"/>
      <c r="AV20" s="132">
        <v>11201.94</v>
      </c>
      <c r="AW20" s="131">
        <f>+AV20-AR20</f>
        <v>11201.94</v>
      </c>
      <c r="AX20" s="18"/>
      <c r="AY20" s="23">
        <f t="shared" si="14"/>
        <v>0</v>
      </c>
      <c r="AZ20" s="23">
        <f t="shared" si="15"/>
        <v>157559.22000000003</v>
      </c>
      <c r="BA20" s="24">
        <f t="shared" si="16"/>
        <v>157559.22000000003</v>
      </c>
      <c r="BB20" s="18"/>
      <c r="BC20" s="16">
        <f t="shared" si="17"/>
        <v>155622.01999999999</v>
      </c>
      <c r="BD20" s="25">
        <f t="shared" si="18"/>
        <v>155622.01999999999</v>
      </c>
      <c r="BE20" s="18"/>
      <c r="BF20" s="16">
        <f t="shared" si="19"/>
        <v>22508.460000000003</v>
      </c>
      <c r="BG20" s="26">
        <f t="shared" si="20"/>
        <v>22231.717142857142</v>
      </c>
    </row>
    <row r="21" spans="1:59" ht="15" thickBot="1" x14ac:dyDescent="0.35">
      <c r="A21" s="22"/>
      <c r="B21" s="23"/>
      <c r="C21" s="16"/>
      <c r="D21" s="24"/>
      <c r="E21" s="30"/>
      <c r="F21" s="29"/>
      <c r="G21" s="25"/>
      <c r="H21" s="18"/>
      <c r="I21" s="23"/>
      <c r="J21" s="16"/>
      <c r="K21" s="24"/>
      <c r="L21" s="30"/>
      <c r="M21" s="29"/>
      <c r="N21" s="25"/>
      <c r="O21" s="18"/>
      <c r="P21" s="23"/>
      <c r="Q21" s="16"/>
      <c r="R21" s="24"/>
      <c r="S21" s="30"/>
      <c r="T21" s="29"/>
      <c r="U21" s="25"/>
      <c r="V21" s="18"/>
      <c r="W21" s="23"/>
      <c r="X21" s="16"/>
      <c r="Y21" s="24"/>
      <c r="Z21" s="30"/>
      <c r="AA21" s="29"/>
      <c r="AB21" s="25"/>
      <c r="AC21" s="18"/>
      <c r="AD21" s="23"/>
      <c r="AE21" s="16"/>
      <c r="AF21" s="24"/>
      <c r="AG21" s="30"/>
      <c r="AH21" s="29"/>
      <c r="AI21" s="25"/>
      <c r="AJ21" s="18"/>
      <c r="AK21" s="23"/>
      <c r="AL21" s="16"/>
      <c r="AM21" s="24"/>
      <c r="AN21" s="133"/>
      <c r="AO21" s="130"/>
      <c r="AP21" s="131"/>
      <c r="AQ21" s="126"/>
      <c r="AR21" s="23"/>
      <c r="AS21" s="16"/>
      <c r="AT21" s="24"/>
      <c r="AU21" s="30"/>
      <c r="AV21" s="130"/>
      <c r="AW21" s="131"/>
      <c r="AX21" s="18"/>
      <c r="AY21" s="78"/>
      <c r="AZ21" s="78"/>
      <c r="BA21" s="79"/>
      <c r="BB21" s="80"/>
      <c r="BC21" s="78"/>
      <c r="BD21" s="81"/>
      <c r="BE21" s="82"/>
      <c r="BF21" s="83"/>
      <c r="BG21" s="82"/>
    </row>
    <row r="22" spans="1:59" ht="15" thickBot="1" x14ac:dyDescent="0.35">
      <c r="A22" s="31" t="s">
        <v>23</v>
      </c>
      <c r="B22" s="32">
        <f>SUM(B4:B21)</f>
        <v>12098000</v>
      </c>
      <c r="C22" s="32">
        <f>SUM(C4:C21)</f>
        <v>9551724.5199999996</v>
      </c>
      <c r="D22" s="32">
        <f>SUM(D4:D21)</f>
        <v>-2546275.4799999995</v>
      </c>
      <c r="E22" s="33">
        <f>+C22/B22</f>
        <v>0.78952922135890224</v>
      </c>
      <c r="F22" s="32">
        <f>SUM(F4:F21)</f>
        <v>5981425.2799999984</v>
      </c>
      <c r="G22" s="32">
        <f>SUM(G4:G21)</f>
        <v>-6116574.7199999997</v>
      </c>
      <c r="H22" s="33">
        <f>+F22/B22</f>
        <v>0.49441438915523211</v>
      </c>
      <c r="I22" s="32">
        <f>SUM(I4:I21)</f>
        <v>12348000</v>
      </c>
      <c r="J22" s="32">
        <f>SUM(J4:J21)</f>
        <v>22744224.27</v>
      </c>
      <c r="K22" s="32">
        <f>SUM(K4:K21)</f>
        <v>10396224.270000001</v>
      </c>
      <c r="L22" s="91">
        <f>+J22/I22</f>
        <v>1.8419358819241982</v>
      </c>
      <c r="M22" s="32">
        <f>SUM(M4:M21)</f>
        <v>10257478.640000001</v>
      </c>
      <c r="N22" s="32">
        <f>SUM(N4:N21)</f>
        <v>-2090521.3599999996</v>
      </c>
      <c r="O22" s="90">
        <f>+M22/I22</f>
        <v>0.83069959831551676</v>
      </c>
      <c r="P22" s="32">
        <f>SUM(P4:P21)</f>
        <v>12098000</v>
      </c>
      <c r="Q22" s="32">
        <f>SUM(Q4:Q21)</f>
        <v>11511387.870000001</v>
      </c>
      <c r="R22" s="32">
        <f>SUM(R4:R21)</f>
        <v>-586612.12999999931</v>
      </c>
      <c r="S22" s="33">
        <f>+Q22/P22</f>
        <v>0.95151164407340061</v>
      </c>
      <c r="T22" s="32">
        <f>SUM(T4:T21)</f>
        <v>6915087.1899999995</v>
      </c>
      <c r="U22" s="32">
        <f>SUM(U4:U21)</f>
        <v>-5182912.8100000005</v>
      </c>
      <c r="V22" s="90">
        <f>+T22/P22</f>
        <v>0.57158928665895181</v>
      </c>
      <c r="W22" s="32">
        <f>SUM(W4:W21)</f>
        <v>12298000</v>
      </c>
      <c r="X22" s="32">
        <f>SUM(X4:X21)</f>
        <v>8576678.75</v>
      </c>
      <c r="Y22" s="32">
        <f>SUM(Y4:Y21)</f>
        <v>-3721321.2500000005</v>
      </c>
      <c r="Z22" s="33">
        <f>+X22/W22</f>
        <v>0.69740435436656367</v>
      </c>
      <c r="AA22" s="32">
        <f>SUM(AA4:AA21)</f>
        <v>10142133.060000001</v>
      </c>
      <c r="AB22" s="32">
        <f>SUM(AB4:AB21)</f>
        <v>-2155866.9400000009</v>
      </c>
      <c r="AC22" s="90">
        <f>+AA22/W22</f>
        <v>0.82469776061148159</v>
      </c>
      <c r="AD22" s="32">
        <f>SUM(AD4:AD21)</f>
        <v>12498000</v>
      </c>
      <c r="AE22" s="32">
        <f>SUM(AE4:AE21)</f>
        <v>6257997.7400000002</v>
      </c>
      <c r="AF22" s="32">
        <f>SUM(AF4:AF21)</f>
        <v>-6240002.2599999988</v>
      </c>
      <c r="AG22" s="33">
        <f>+AE22/AD22</f>
        <v>0.50071993438950235</v>
      </c>
      <c r="AH22" s="32">
        <f>SUM(AH4:AH21)</f>
        <v>10391819.289999999</v>
      </c>
      <c r="AI22" s="32">
        <f>SUM(AI4:AI21)</f>
        <v>-2106180.7100000004</v>
      </c>
      <c r="AJ22" s="90">
        <f>+AH22/AD22</f>
        <v>0.83147857977276352</v>
      </c>
      <c r="AK22" s="32">
        <f>SUM(AK4:AK21)</f>
        <v>12798000</v>
      </c>
      <c r="AL22" s="32">
        <f>SUM(AL4:AL21)</f>
        <v>12599131.73</v>
      </c>
      <c r="AM22" s="32">
        <f>SUM(AM4:AM21)</f>
        <v>-198868.26999999894</v>
      </c>
      <c r="AN22" s="134">
        <f>+AL22/AK22</f>
        <v>0.98446098843569307</v>
      </c>
      <c r="AO22" s="135">
        <f>SUM(AO4:AO21)</f>
        <v>7998213.6899999995</v>
      </c>
      <c r="AP22" s="135">
        <f>SUM(AP4:AP21)</f>
        <v>-4799786.3099999987</v>
      </c>
      <c r="AQ22" s="136">
        <f>+AO22/AK22</f>
        <v>0.62495809423347393</v>
      </c>
      <c r="AR22" s="32">
        <f>SUM(AR4:AR21)</f>
        <v>13048000</v>
      </c>
      <c r="AS22" s="32">
        <f>SUM(AS4:AS21)</f>
        <v>10582459.110000001</v>
      </c>
      <c r="AT22" s="32">
        <f>SUM(AT4:AT21)</f>
        <v>-2465540.8899999997</v>
      </c>
      <c r="AU22" s="33">
        <f>+AS22/AR22</f>
        <v>0.81104070432250164</v>
      </c>
      <c r="AV22" s="135">
        <f>SUM(AV4:AV21)</f>
        <v>7694492.46</v>
      </c>
      <c r="AW22" s="135">
        <f>SUM(AW4:AW21)</f>
        <v>-5353507.54</v>
      </c>
      <c r="AX22" s="90">
        <f>+AV22/AR22</f>
        <v>0.58970665695892088</v>
      </c>
      <c r="AY22" s="89">
        <f>SUM(AY4:AY20)</f>
        <v>87186000</v>
      </c>
      <c r="AZ22" s="32">
        <f>SUM(AZ4:AZ20)</f>
        <v>81823603.99000001</v>
      </c>
      <c r="BA22" s="84">
        <f>+AZ22-AY22</f>
        <v>-5362396.0099999905</v>
      </c>
      <c r="BB22" s="85">
        <f>+AZ22/AY22</f>
        <v>0.93849475821806261</v>
      </c>
      <c r="BC22" s="86">
        <f>SUM(BC4:BC20)</f>
        <v>59380649.610000007</v>
      </c>
      <c r="BD22" s="87">
        <f>+BC22-AY22</f>
        <v>-27805350.389999993</v>
      </c>
      <c r="BE22" s="85">
        <f>+BC22/AY22</f>
        <v>0.68108010013075504</v>
      </c>
      <c r="BF22" s="86">
        <f>+AZ22/7</f>
        <v>11689086.284285715</v>
      </c>
      <c r="BG22" s="88">
        <f>+BC22/7</f>
        <v>8482949.944285715</v>
      </c>
    </row>
    <row r="23" spans="1:59" x14ac:dyDescent="0.3">
      <c r="A23" s="22"/>
      <c r="B23" s="23"/>
      <c r="C23" s="16"/>
      <c r="D23" s="34"/>
      <c r="E23" s="18"/>
      <c r="F23" s="29"/>
      <c r="G23" s="35"/>
      <c r="H23" s="18"/>
      <c r="I23" s="23"/>
      <c r="J23" s="16"/>
      <c r="K23" s="34"/>
      <c r="L23" s="18"/>
      <c r="M23" s="29"/>
      <c r="N23" s="35"/>
      <c r="O23" s="18"/>
      <c r="P23" s="23"/>
      <c r="Q23" s="16"/>
      <c r="R23" s="34"/>
      <c r="S23" s="18"/>
      <c r="T23" s="29"/>
      <c r="U23" s="35"/>
      <c r="V23" s="18"/>
      <c r="W23" s="23"/>
      <c r="X23" s="16"/>
      <c r="Y23" s="34"/>
      <c r="Z23" s="18"/>
      <c r="AA23" s="29"/>
      <c r="AB23" s="35"/>
      <c r="AC23" s="18"/>
      <c r="AD23" s="23"/>
      <c r="AE23" s="16"/>
      <c r="AF23" s="34"/>
      <c r="AG23" s="18"/>
      <c r="AH23" s="29"/>
      <c r="AI23" s="35"/>
      <c r="AJ23" s="18"/>
      <c r="AK23" s="23"/>
      <c r="AL23" s="16"/>
      <c r="AM23" s="34"/>
      <c r="AN23" s="126"/>
      <c r="AO23" s="130"/>
      <c r="AP23" s="137"/>
      <c r="AQ23" s="126"/>
      <c r="AR23" s="23"/>
      <c r="AS23" s="16"/>
      <c r="AT23" s="34"/>
      <c r="AU23" s="18"/>
      <c r="AV23" s="130"/>
      <c r="AW23" s="137"/>
      <c r="AX23" s="18"/>
      <c r="AY23" s="23"/>
      <c r="AZ23" s="16"/>
      <c r="BA23" s="34"/>
      <c r="BB23" s="18"/>
      <c r="BC23" s="29"/>
      <c r="BD23" s="35"/>
      <c r="BE23" s="18"/>
      <c r="BF23" s="16"/>
      <c r="BG23" s="26"/>
    </row>
    <row r="24" spans="1:59" x14ac:dyDescent="0.3">
      <c r="A24" s="22" t="s">
        <v>25</v>
      </c>
      <c r="B24" s="26"/>
      <c r="C24" s="16">
        <v>5189998</v>
      </c>
      <c r="E24" s="18"/>
      <c r="F24" s="29">
        <v>6473867</v>
      </c>
      <c r="H24" s="37"/>
      <c r="I24" s="26"/>
      <c r="J24" s="16">
        <v>6480867</v>
      </c>
      <c r="L24" s="18"/>
      <c r="M24" s="29">
        <v>4656309</v>
      </c>
      <c r="O24" s="37"/>
      <c r="P24" s="26"/>
      <c r="Q24" s="16">
        <v>5002093</v>
      </c>
      <c r="S24" s="18"/>
      <c r="T24" s="29">
        <v>4948390</v>
      </c>
      <c r="V24" s="37"/>
      <c r="W24" s="26"/>
      <c r="X24" s="16">
        <v>5759007</v>
      </c>
      <c r="Z24" s="18"/>
      <c r="AA24" s="29">
        <v>5350403</v>
      </c>
      <c r="AC24" s="37"/>
      <c r="AD24" s="26"/>
      <c r="AE24" s="16">
        <v>35091548</v>
      </c>
      <c r="AG24" s="18"/>
      <c r="AH24" s="29">
        <v>46426011</v>
      </c>
      <c r="AJ24" s="37"/>
      <c r="AK24" s="26"/>
      <c r="AL24" s="16">
        <v>7015929</v>
      </c>
      <c r="AN24" s="126"/>
      <c r="AO24" s="130">
        <v>7038899</v>
      </c>
      <c r="AQ24" s="139"/>
      <c r="AR24" s="26"/>
      <c r="AS24" s="16">
        <v>8765255</v>
      </c>
      <c r="AU24" s="18"/>
      <c r="AV24" s="130">
        <v>7021649</v>
      </c>
      <c r="AX24" s="37"/>
      <c r="AY24" s="26"/>
      <c r="AZ24" s="16">
        <f>+C24+J24+Q24+X24+AE24+AL24+AS24</f>
        <v>73304697</v>
      </c>
      <c r="BB24" s="18"/>
      <c r="BC24" s="16">
        <f>+F24+M24+T24+AA24+AH24+AO24+AV24</f>
        <v>81915528</v>
      </c>
      <c r="BD24" s="36"/>
      <c r="BE24" s="37"/>
      <c r="BF24" s="16">
        <f>+AZ24/7</f>
        <v>10472099.571428571</v>
      </c>
      <c r="BG24" s="26">
        <f>+BC24/7</f>
        <v>11702218.285714285</v>
      </c>
    </row>
    <row r="25" spans="1:59" x14ac:dyDescent="0.3">
      <c r="A25" s="38"/>
      <c r="B25" s="26"/>
      <c r="C25" s="16"/>
      <c r="E25" s="18"/>
      <c r="F25" s="29"/>
      <c r="H25" s="37"/>
      <c r="I25" s="26"/>
      <c r="J25" s="16"/>
      <c r="L25" s="18"/>
      <c r="M25" s="29"/>
      <c r="O25" s="37"/>
      <c r="P25" s="26"/>
      <c r="Q25" s="16"/>
      <c r="S25" s="18"/>
      <c r="T25" s="29"/>
      <c r="V25" s="37"/>
      <c r="W25" s="26"/>
      <c r="X25" s="16"/>
      <c r="Z25" s="18"/>
      <c r="AA25" s="29"/>
      <c r="AC25" s="37"/>
      <c r="AD25" s="26"/>
      <c r="AE25" s="16"/>
      <c r="AG25" s="18"/>
      <c r="AH25" s="29"/>
      <c r="AJ25" s="37"/>
      <c r="AK25" s="26"/>
      <c r="AL25" s="16"/>
      <c r="AN25" s="126"/>
      <c r="AO25" s="130"/>
      <c r="AQ25" s="139"/>
      <c r="AR25" s="26"/>
      <c r="AS25" s="16"/>
      <c r="AU25" s="18"/>
      <c r="AV25" s="130"/>
      <c r="AX25" s="37"/>
      <c r="AY25" s="26"/>
      <c r="AZ25" s="16"/>
      <c r="BB25" s="18"/>
      <c r="BC25" s="29"/>
      <c r="BD25" s="36"/>
      <c r="BE25" s="37"/>
      <c r="BF25" s="16"/>
      <c r="BG25" s="26"/>
    </row>
    <row r="26" spans="1:59" ht="15" thickBot="1" x14ac:dyDescent="0.35">
      <c r="A26" s="39" t="s">
        <v>24</v>
      </c>
      <c r="B26" s="40"/>
      <c r="C26" s="41">
        <f>+C22-C24</f>
        <v>4361726.5199999996</v>
      </c>
      <c r="D26" s="42"/>
      <c r="E26" s="43">
        <f>+(C22/C24)-1</f>
        <v>0.8404100579614866</v>
      </c>
      <c r="F26" s="41">
        <f>+F22-F24</f>
        <v>-492441.7200000016</v>
      </c>
      <c r="G26" s="42"/>
      <c r="H26" s="43">
        <f>+(F22/F24)-1</f>
        <v>-7.6066085386060855E-2</v>
      </c>
      <c r="I26" s="40"/>
      <c r="J26" s="41">
        <f>+J22-J24</f>
        <v>16263357.27</v>
      </c>
      <c r="K26" s="42"/>
      <c r="L26" s="43">
        <f>+(J22/J24)-1</f>
        <v>2.5094416024892965</v>
      </c>
      <c r="M26" s="41">
        <f>+M22-M24</f>
        <v>5601169.6400000006</v>
      </c>
      <c r="N26" s="42"/>
      <c r="O26" s="43">
        <f>+(M22/M24)-1</f>
        <v>1.2029205192352999</v>
      </c>
      <c r="P26" s="40"/>
      <c r="Q26" s="41">
        <f>+Q22-Q24</f>
        <v>6509294.870000001</v>
      </c>
      <c r="R26" s="42"/>
      <c r="S26" s="43">
        <f>+(Q22/Q24)-1</f>
        <v>1.3013142438575214</v>
      </c>
      <c r="T26" s="41">
        <f>+T22-T24</f>
        <v>1966697.1899999995</v>
      </c>
      <c r="U26" s="42"/>
      <c r="V26" s="43">
        <f>+(T22/T24)-1</f>
        <v>0.39744183259605648</v>
      </c>
      <c r="W26" s="40"/>
      <c r="X26" s="41">
        <f>+X22-X24</f>
        <v>2817671.75</v>
      </c>
      <c r="Y26" s="42"/>
      <c r="Z26" s="43">
        <f>+(X22/X24)-1</f>
        <v>0.48926347024756178</v>
      </c>
      <c r="AA26" s="41">
        <f>+AA22-AA24</f>
        <v>4791730.0600000005</v>
      </c>
      <c r="AB26" s="42"/>
      <c r="AC26" s="104">
        <f>+(AA22/AA24)-1</f>
        <v>0.89558301683069486</v>
      </c>
      <c r="AD26" s="40"/>
      <c r="AE26" s="41">
        <f>+AE22-AE24</f>
        <v>-28833550.259999998</v>
      </c>
      <c r="AF26" s="42"/>
      <c r="AG26" s="43">
        <f>+(AE22/AE24)-1</f>
        <v>-0.8216665238022558</v>
      </c>
      <c r="AH26" s="41">
        <f>+AH22-AH24</f>
        <v>-36034191.710000001</v>
      </c>
      <c r="AI26" s="42"/>
      <c r="AJ26" s="43">
        <f>+(AH22/AH24)-1</f>
        <v>-0.77616385586088799</v>
      </c>
      <c r="AK26" s="40"/>
      <c r="AL26" s="41">
        <f>+AL22-AL24</f>
        <v>5583202.7300000004</v>
      </c>
      <c r="AM26" s="42"/>
      <c r="AN26" s="140">
        <f>+(AL22/AL24)-1</f>
        <v>0.79578951411851517</v>
      </c>
      <c r="AO26" s="141">
        <f>+AO22-AO24</f>
        <v>959314.68999999948</v>
      </c>
      <c r="AP26" s="142"/>
      <c r="AQ26" s="140">
        <f>+(AO22/AO24)-1</f>
        <v>0.13628760549057461</v>
      </c>
      <c r="AR26" s="40"/>
      <c r="AS26" s="41">
        <f>+AS22-AS24</f>
        <v>1817204.1100000013</v>
      </c>
      <c r="AT26" s="42"/>
      <c r="AU26" s="43">
        <f>+(AS22/AS24)-1</f>
        <v>0.20731902380478395</v>
      </c>
      <c r="AV26" s="141">
        <f>+AV22-AV24</f>
        <v>672843.46</v>
      </c>
      <c r="AW26" s="142"/>
      <c r="AX26" s="43">
        <f>+(AV22/AV24)-1</f>
        <v>9.582413760642261E-2</v>
      </c>
      <c r="AY26" s="40"/>
      <c r="AZ26" s="41">
        <f>+AZ22-AZ24</f>
        <v>8518906.9900000095</v>
      </c>
      <c r="BA26" s="42"/>
      <c r="BB26" s="43">
        <f>+(AZ22/AZ24)-1</f>
        <v>0.11621229387251963</v>
      </c>
      <c r="BC26" s="41">
        <f>+BC22-BC24</f>
        <v>-22534878.389999993</v>
      </c>
      <c r="BD26" s="42"/>
      <c r="BE26" s="43">
        <f>+(BC22/BC24)-1</f>
        <v>-0.27509898233214092</v>
      </c>
      <c r="BF26" s="75"/>
      <c r="BG26" s="76"/>
    </row>
    <row r="28" spans="1:59" x14ac:dyDescent="0.3">
      <c r="D28" s="44"/>
      <c r="F28" s="46">
        <v>5981425.2800000003</v>
      </c>
      <c r="G28" s="46"/>
      <c r="H28" s="45"/>
      <c r="K28" s="44"/>
      <c r="M28" s="46">
        <v>10257478.65</v>
      </c>
      <c r="N28" s="46"/>
      <c r="O28" s="45"/>
      <c r="R28" s="44"/>
      <c r="T28" s="46">
        <v>6915087.2000000002</v>
      </c>
      <c r="U28" s="46"/>
      <c r="V28" s="45"/>
      <c r="Y28" s="44"/>
      <c r="AA28" s="46">
        <v>10142133.050000001</v>
      </c>
      <c r="AB28" s="46"/>
      <c r="AC28" s="45"/>
      <c r="AF28" s="44"/>
      <c r="AH28" s="46">
        <v>10391819.289999999</v>
      </c>
      <c r="AI28" s="46"/>
      <c r="AJ28" s="45"/>
      <c r="AM28" s="44"/>
      <c r="AO28" s="144">
        <v>7998213.6900000004</v>
      </c>
      <c r="AP28" s="144"/>
      <c r="AQ28" s="143"/>
      <c r="AT28" s="44"/>
      <c r="AV28" s="144">
        <v>7694492.46</v>
      </c>
      <c r="AW28" s="144"/>
      <c r="AX28" s="45"/>
      <c r="BC28" s="46">
        <v>59380649.630000003</v>
      </c>
    </row>
    <row r="29" spans="1:59" x14ac:dyDescent="0.3">
      <c r="F29" s="46">
        <f>+F22-F28</f>
        <v>0</v>
      </c>
      <c r="M29" s="46">
        <f>+M22-M28</f>
        <v>-9.9999997764825821E-3</v>
      </c>
      <c r="T29" s="46">
        <f>+T22-T28</f>
        <v>-1.0000000707805157E-2</v>
      </c>
      <c r="AA29" s="46">
        <f>+AA22-AA28</f>
        <v>9.9999997764825821E-3</v>
      </c>
      <c r="AH29" s="46">
        <f>+AH22-AH28</f>
        <v>0</v>
      </c>
      <c r="AO29" s="144">
        <f>+AO22-AO28</f>
        <v>0</v>
      </c>
      <c r="AV29" s="144">
        <f>+AV22-AV28</f>
        <v>0</v>
      </c>
      <c r="BC29" s="46">
        <f>+BC22-BC28</f>
        <v>-1.9999995827674866E-2</v>
      </c>
    </row>
    <row r="30" spans="1:59" x14ac:dyDescent="0.3">
      <c r="K30" s="44"/>
      <c r="R30" s="44"/>
      <c r="Y30" s="44"/>
      <c r="AF30" s="44"/>
      <c r="AM30" s="44"/>
      <c r="AT30" s="44"/>
    </row>
    <row r="31" spans="1:59" x14ac:dyDescent="0.3">
      <c r="A31" s="22"/>
      <c r="K31" s="44"/>
      <c r="R31" s="44"/>
      <c r="Y31" s="44"/>
      <c r="AE31" s="46"/>
      <c r="AF31" s="44"/>
      <c r="AM31" s="44"/>
      <c r="AT31" s="44"/>
    </row>
    <row r="32" spans="1:59" x14ac:dyDescent="0.3">
      <c r="A32" s="27"/>
      <c r="K32" s="44"/>
      <c r="R32" s="44"/>
      <c r="Y32" s="44"/>
      <c r="AF32" s="44"/>
      <c r="AM32" s="44"/>
      <c r="AS32"/>
    </row>
    <row r="33" spans="1:45" x14ac:dyDescent="0.3">
      <c r="A33" s="22"/>
      <c r="AS33"/>
    </row>
    <row r="34" spans="1:45" x14ac:dyDescent="0.3">
      <c r="A34" s="22"/>
    </row>
    <row r="35" spans="1:45" x14ac:dyDescent="0.3">
      <c r="A35" s="22"/>
    </row>
    <row r="36" spans="1:45" x14ac:dyDescent="0.3">
      <c r="A36" s="22"/>
    </row>
    <row r="37" spans="1:45" x14ac:dyDescent="0.3">
      <c r="A37" s="22"/>
    </row>
    <row r="38" spans="1:45" x14ac:dyDescent="0.3">
      <c r="A38" s="22"/>
    </row>
    <row r="39" spans="1:45" x14ac:dyDescent="0.3">
      <c r="A39" s="22"/>
    </row>
    <row r="40" spans="1:45" x14ac:dyDescent="0.3">
      <c r="A40" s="22"/>
    </row>
  </sheetData>
  <pageMargins left="0.7" right="0.7" top="0.75" bottom="0.75" header="0.3" footer="0.3"/>
  <ignoredErrors>
    <ignoredError sqref="AN22:AQ22 AU2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A924-F037-44EA-A97A-8B35A662AB18}">
  <dimension ref="A1:AZ40"/>
  <sheetViews>
    <sheetView zoomScaleNormal="100"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AV18" sqref="AV18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0" width="11.44140625" style="44" bestFit="1" customWidth="1"/>
    <col min="31" max="31" width="12.88671875" style="44" bestFit="1" customWidth="1"/>
    <col min="32" max="32" width="11.77734375" customWidth="1"/>
    <col min="33" max="33" width="7.77734375" style="45" bestFit="1" customWidth="1"/>
    <col min="34" max="34" width="11.44140625" style="46" bestFit="1" customWidth="1"/>
    <col min="35" max="35" width="11.44140625" style="36" bestFit="1" customWidth="1"/>
    <col min="36" max="36" width="7.77734375" style="36" bestFit="1" customWidth="1"/>
    <col min="37" max="37" width="11.44140625" style="44" bestFit="1" customWidth="1"/>
    <col min="38" max="38" width="12.88671875" style="44" bestFit="1" customWidth="1"/>
    <col min="39" max="39" width="11.77734375" customWidth="1"/>
    <col min="40" max="40" width="7.77734375" style="143" bestFit="1" customWidth="1"/>
    <col min="41" max="41" width="11.44140625" style="144" bestFit="1" customWidth="1"/>
    <col min="42" max="42" width="11.44140625" style="138" bestFit="1" customWidth="1"/>
    <col min="43" max="43" width="7.77734375" style="138" bestFit="1" customWidth="1"/>
    <col min="44" max="46" width="11.44140625" bestFit="1" customWidth="1"/>
    <col min="47" max="47" width="7.77734375" customWidth="1"/>
    <col min="48" max="49" width="11.44140625" bestFit="1" customWidth="1"/>
    <col min="50" max="50" width="7.109375" bestFit="1" customWidth="1"/>
    <col min="51" max="52" width="11.44140625" bestFit="1" customWidth="1"/>
  </cols>
  <sheetData>
    <row r="1" spans="1:52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115"/>
      <c r="AL1" s="116"/>
      <c r="AM1" s="117"/>
      <c r="AN1" s="118" t="s">
        <v>53</v>
      </c>
      <c r="AO1" s="119"/>
      <c r="AP1" s="120"/>
      <c r="AQ1" s="121"/>
      <c r="AR1" s="66"/>
      <c r="AS1" s="67"/>
      <c r="AT1" s="68"/>
      <c r="AU1" s="69" t="s">
        <v>46</v>
      </c>
      <c r="AV1" s="67"/>
      <c r="AW1" s="68"/>
      <c r="AX1" s="70"/>
      <c r="AY1" s="71"/>
      <c r="AZ1" s="72"/>
    </row>
    <row r="2" spans="1:52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22" t="s">
        <v>5</v>
      </c>
      <c r="AO2" s="123" t="s">
        <v>6</v>
      </c>
      <c r="AP2" s="124" t="s">
        <v>7</v>
      </c>
      <c r="AQ2" s="125" t="s">
        <v>5</v>
      </c>
      <c r="AR2" s="8" t="s">
        <v>2</v>
      </c>
      <c r="AS2" s="9" t="s">
        <v>3</v>
      </c>
      <c r="AT2" s="10" t="s">
        <v>4</v>
      </c>
      <c r="AU2" s="11" t="s">
        <v>5</v>
      </c>
      <c r="AV2" s="12" t="s">
        <v>6</v>
      </c>
      <c r="AW2" s="10" t="s">
        <v>7</v>
      </c>
      <c r="AX2" s="13" t="s">
        <v>5</v>
      </c>
      <c r="AY2" s="73" t="s">
        <v>47</v>
      </c>
      <c r="AZ2" s="74" t="s">
        <v>48</v>
      </c>
    </row>
    <row r="3" spans="1:52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6"/>
      <c r="AM3" s="17"/>
      <c r="AN3" s="126"/>
      <c r="AO3" s="127"/>
      <c r="AP3" s="128"/>
      <c r="AQ3" s="129"/>
      <c r="AR3" s="15"/>
      <c r="AS3" s="15"/>
      <c r="AT3" s="77"/>
      <c r="AU3" s="18"/>
      <c r="AV3" s="19"/>
      <c r="AW3" s="20"/>
      <c r="AX3" s="21"/>
      <c r="AY3" s="16"/>
      <c r="AZ3" s="26"/>
    </row>
    <row r="4" spans="1:52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1101953.8999999999</v>
      </c>
      <c r="AI4" s="25">
        <f>+AH4-AD4</f>
        <v>-236796.10000000009</v>
      </c>
      <c r="AJ4" s="18">
        <f>+AH4/AD4</f>
        <v>0.82312149393090561</v>
      </c>
      <c r="AK4" s="23">
        <v>1338750</v>
      </c>
      <c r="AL4" s="16">
        <v>1381159.65</v>
      </c>
      <c r="AM4" s="24">
        <f>+AL4-AK4</f>
        <v>42409.649999999907</v>
      </c>
      <c r="AN4" s="47">
        <f>+AL4/AK4</f>
        <v>1.031678543417367</v>
      </c>
      <c r="AO4" s="130">
        <v>1417415.93</v>
      </c>
      <c r="AP4" s="131">
        <f>+AO4-AK4</f>
        <v>78665.929999999935</v>
      </c>
      <c r="AQ4" s="47">
        <f>+AO4/AK4</f>
        <v>1.0587607320261438</v>
      </c>
      <c r="AR4" s="23">
        <f>+B4+I4+P4+W4+AD4+AK4</f>
        <v>8032500</v>
      </c>
      <c r="AS4" s="23">
        <f>+C4+J4+Q4+X4+AE4+AL4</f>
        <v>6569050.9700000007</v>
      </c>
      <c r="AT4" s="24">
        <f>+AS4-AR4</f>
        <v>-1463449.0299999993</v>
      </c>
      <c r="AU4" s="18">
        <f>+AS4/AR4</f>
        <v>0.8178090220977281</v>
      </c>
      <c r="AV4" s="16">
        <f>+F4+M4+T4+AA4+AH4+AO4</f>
        <v>5634780.9399999995</v>
      </c>
      <c r="AW4" s="25">
        <f>+AV4-AR4</f>
        <v>-2397719.0600000005</v>
      </c>
      <c r="AX4" s="18">
        <f>+AV4/AR4</f>
        <v>0.70149778275754737</v>
      </c>
      <c r="AY4" s="16">
        <f>+AS4/6</f>
        <v>1094841.8283333334</v>
      </c>
      <c r="AZ4" s="26">
        <f>+AV4/6</f>
        <v>939130.15666666662</v>
      </c>
    </row>
    <row r="5" spans="1:52" x14ac:dyDescent="0.3">
      <c r="A5" s="22" t="s">
        <v>9</v>
      </c>
      <c r="B5" s="23"/>
      <c r="C5" s="16"/>
      <c r="D5" s="24">
        <f t="shared" ref="D5:D19" si="0">+C5-B5</f>
        <v>0</v>
      </c>
      <c r="E5" s="18"/>
      <c r="F5" s="28"/>
      <c r="G5" s="25">
        <f t="shared" ref="G5:G19" si="1">+F5-B5</f>
        <v>0</v>
      </c>
      <c r="H5" s="18"/>
      <c r="I5" s="23"/>
      <c r="J5" s="16"/>
      <c r="K5" s="24">
        <f t="shared" ref="K5:K19" si="2">+J5-I5</f>
        <v>0</v>
      </c>
      <c r="L5" s="18"/>
      <c r="M5" s="28"/>
      <c r="N5" s="25">
        <f t="shared" ref="N5:N13" si="3">+M5-I5</f>
        <v>0</v>
      </c>
      <c r="O5" s="18"/>
      <c r="P5" s="23"/>
      <c r="Q5" s="16">
        <v>333.62</v>
      </c>
      <c r="R5" s="24">
        <f t="shared" ref="R5:R19" si="4">+Q5-P5</f>
        <v>333.62</v>
      </c>
      <c r="S5" s="18"/>
      <c r="T5" s="28"/>
      <c r="U5" s="25">
        <f t="shared" ref="U5:U13" si="5">+T5-P5</f>
        <v>0</v>
      </c>
      <c r="V5" s="18"/>
      <c r="W5" s="23"/>
      <c r="X5" s="16"/>
      <c r="Y5" s="24">
        <f t="shared" ref="Y5:Y19" si="6">+X5-W5</f>
        <v>0</v>
      </c>
      <c r="Z5" s="18"/>
      <c r="AA5" s="28"/>
      <c r="AB5" s="25">
        <f t="shared" ref="AB5:AB13" si="7">+AA5-W5</f>
        <v>0</v>
      </c>
      <c r="AC5" s="18"/>
      <c r="AD5" s="23"/>
      <c r="AE5" s="16"/>
      <c r="AF5" s="24">
        <f t="shared" ref="AF5:AF19" si="8">+AE5-AD5</f>
        <v>0</v>
      </c>
      <c r="AG5" s="18"/>
      <c r="AH5" s="28"/>
      <c r="AI5" s="25">
        <f t="shared" ref="AI5:AI13" si="9">+AH5-AD5</f>
        <v>0</v>
      </c>
      <c r="AJ5" s="18"/>
      <c r="AK5" s="23"/>
      <c r="AL5" s="16"/>
      <c r="AM5" s="24">
        <f t="shared" ref="AM5:AM19" si="10">+AL5-AK5</f>
        <v>0</v>
      </c>
      <c r="AN5" s="126"/>
      <c r="AO5" s="132"/>
      <c r="AP5" s="131">
        <f t="shared" ref="AP5:AP13" si="11">+AO5-AK5</f>
        <v>0</v>
      </c>
      <c r="AQ5" s="126"/>
      <c r="AR5" s="23">
        <f t="shared" ref="AR5:AR20" si="12">+B5+I5+P5+W5+AD5+AK5</f>
        <v>0</v>
      </c>
      <c r="AS5" s="23">
        <f t="shared" ref="AS5:AS20" si="13">+C5+J5+Q5+X5+AE5+AL5</f>
        <v>333.62</v>
      </c>
      <c r="AT5" s="24">
        <f t="shared" ref="AT5:AT20" si="14">+AS5-AR5</f>
        <v>333.62</v>
      </c>
      <c r="AU5" s="18"/>
      <c r="AV5" s="16">
        <f t="shared" ref="AV5:AV20" si="15">+F5+M5+T5+AA5+AH5+AO5</f>
        <v>0</v>
      </c>
      <c r="AW5" s="25">
        <f t="shared" ref="AW5:AW20" si="16">+AV5-AR5</f>
        <v>0</v>
      </c>
      <c r="AX5" s="18"/>
      <c r="AY5" s="16">
        <f t="shared" ref="AY5:AY20" si="17">+AS5/6</f>
        <v>55.603333333333332</v>
      </c>
      <c r="AZ5" s="26">
        <f t="shared" ref="AZ5:AZ20" si="18">+AV5/6</f>
        <v>0</v>
      </c>
    </row>
    <row r="6" spans="1:52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3" si="19">+C6/B6</f>
        <v>1.5115234571428571</v>
      </c>
      <c r="F6" s="28">
        <v>733269.34</v>
      </c>
      <c r="G6" s="25">
        <f t="shared" si="1"/>
        <v>383269.33999999997</v>
      </c>
      <c r="H6" s="47">
        <f t="shared" ref="H6:H19" si="20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3" si="21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3" si="22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3" si="23">+Q6/P6</f>
        <v>0.17456677777777779</v>
      </c>
      <c r="T6" s="28">
        <v>92549.31</v>
      </c>
      <c r="U6" s="25">
        <f t="shared" si="5"/>
        <v>-357450.69</v>
      </c>
      <c r="V6" s="18">
        <f t="shared" ref="V6:V13" si="24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3" si="25">+X6/W6</f>
        <v>0.44524607999999999</v>
      </c>
      <c r="AA6" s="28">
        <v>249803.76</v>
      </c>
      <c r="AB6" s="25">
        <f t="shared" si="7"/>
        <v>-250196.24</v>
      </c>
      <c r="AC6" s="18">
        <f t="shared" ref="AC6:AC13" si="26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3" si="27">+AE6/AD6</f>
        <v>0.16078852727272727</v>
      </c>
      <c r="AH6" s="28">
        <v>86104.08</v>
      </c>
      <c r="AI6" s="25">
        <f t="shared" si="9"/>
        <v>-463895.92</v>
      </c>
      <c r="AJ6" s="18">
        <f t="shared" ref="AJ6:AJ13" si="28">+AH6/AD6</f>
        <v>0.15655287272727272</v>
      </c>
      <c r="AK6" s="26">
        <v>600000</v>
      </c>
      <c r="AL6" s="16">
        <v>329742.83</v>
      </c>
      <c r="AM6" s="24">
        <f t="shared" si="10"/>
        <v>-270257.17</v>
      </c>
      <c r="AN6" s="126">
        <f t="shared" ref="AN6:AN13" si="29">+AL6/AK6</f>
        <v>0.54957138333333333</v>
      </c>
      <c r="AO6" s="132">
        <v>340216.77</v>
      </c>
      <c r="AP6" s="131">
        <f t="shared" si="11"/>
        <v>-259783.22999999998</v>
      </c>
      <c r="AQ6" s="126">
        <f t="shared" ref="AQ6:AQ13" si="30">+AO6/AK6</f>
        <v>0.56702795000000006</v>
      </c>
      <c r="AR6" s="23">
        <f t="shared" si="12"/>
        <v>2850000</v>
      </c>
      <c r="AS6" s="23">
        <f t="shared" si="13"/>
        <v>1775212.1300000001</v>
      </c>
      <c r="AT6" s="24">
        <f t="shared" si="14"/>
        <v>-1074787.8699999999</v>
      </c>
      <c r="AU6" s="18">
        <f t="shared" ref="AU6:AU19" si="31">+AS6/AR6</f>
        <v>0.62288144912280707</v>
      </c>
      <c r="AV6" s="16">
        <f t="shared" si="15"/>
        <v>1791826.54</v>
      </c>
      <c r="AW6" s="25">
        <f t="shared" si="16"/>
        <v>-1058173.46</v>
      </c>
      <c r="AX6" s="18">
        <f t="shared" ref="AX6:AX19" si="32">+AV6/AR6</f>
        <v>0.62871106666666665</v>
      </c>
      <c r="AY6" s="16">
        <f t="shared" si="17"/>
        <v>295868.68833333335</v>
      </c>
      <c r="AZ6" s="26">
        <f t="shared" si="18"/>
        <v>298637.75666666665</v>
      </c>
    </row>
    <row r="7" spans="1:52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19"/>
        <v>1.2200101967493584</v>
      </c>
      <c r="F7" s="28">
        <v>1033129.09</v>
      </c>
      <c r="G7" s="25">
        <f t="shared" si="1"/>
        <v>156379.08999999997</v>
      </c>
      <c r="H7" s="105">
        <f t="shared" si="20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21"/>
        <v>1.2477482634730539</v>
      </c>
      <c r="M7" s="28">
        <v>1174515.3999999999</v>
      </c>
      <c r="N7" s="25">
        <f t="shared" si="3"/>
        <v>297765.39999999991</v>
      </c>
      <c r="O7" s="47">
        <f t="shared" si="22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23"/>
        <v>0.93849876247504993</v>
      </c>
      <c r="T7" s="28">
        <v>927646.45</v>
      </c>
      <c r="U7" s="25">
        <f t="shared" si="5"/>
        <v>50896.449999999953</v>
      </c>
      <c r="V7" s="47">
        <f t="shared" si="24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25"/>
        <v>0.84989789563729679</v>
      </c>
      <c r="AA7" s="28">
        <v>547748.51</v>
      </c>
      <c r="AB7" s="25">
        <f t="shared" si="7"/>
        <v>-329001.49</v>
      </c>
      <c r="AC7" s="18">
        <f t="shared" si="26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27"/>
        <v>0.94251808383233526</v>
      </c>
      <c r="AH7" s="28">
        <v>924710.89</v>
      </c>
      <c r="AI7" s="25">
        <f t="shared" si="9"/>
        <v>47960.890000000014</v>
      </c>
      <c r="AJ7" s="47">
        <f t="shared" si="28"/>
        <v>1.0547030396350157</v>
      </c>
      <c r="AK7" s="26">
        <v>876750</v>
      </c>
      <c r="AL7" s="16">
        <v>788588.77</v>
      </c>
      <c r="AM7" s="24">
        <f t="shared" si="10"/>
        <v>-88161.229999999981</v>
      </c>
      <c r="AN7" s="126">
        <f t="shared" si="29"/>
        <v>0.89944541773595665</v>
      </c>
      <c r="AO7" s="132">
        <v>1036641.33</v>
      </c>
      <c r="AP7" s="131">
        <f t="shared" si="11"/>
        <v>159891.32999999996</v>
      </c>
      <c r="AQ7" s="47">
        <f t="shared" si="30"/>
        <v>1.1823682121471342</v>
      </c>
      <c r="AR7" s="23">
        <f t="shared" si="12"/>
        <v>5260500</v>
      </c>
      <c r="AS7" s="23">
        <f t="shared" si="13"/>
        <v>5346525.5</v>
      </c>
      <c r="AT7" s="24">
        <f t="shared" si="14"/>
        <v>86025.5</v>
      </c>
      <c r="AU7" s="47">
        <f t="shared" si="31"/>
        <v>1.0163531033171751</v>
      </c>
      <c r="AV7" s="16">
        <f t="shared" si="15"/>
        <v>5644391.669999999</v>
      </c>
      <c r="AW7" s="25">
        <f t="shared" si="16"/>
        <v>383891.66999999899</v>
      </c>
      <c r="AX7" s="47">
        <f t="shared" si="32"/>
        <v>1.0729762703165096</v>
      </c>
      <c r="AY7" s="16">
        <f t="shared" si="17"/>
        <v>891087.58333333337</v>
      </c>
      <c r="AZ7" s="26">
        <f t="shared" si="18"/>
        <v>940731.94499999983</v>
      </c>
    </row>
    <row r="8" spans="1:52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19"/>
        <v>0.35595089999999996</v>
      </c>
      <c r="F8" s="28">
        <v>19135.27</v>
      </c>
      <c r="G8" s="25">
        <f t="shared" si="1"/>
        <v>-80864.73</v>
      </c>
      <c r="H8" s="108">
        <f t="shared" si="20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21"/>
        <v>1.1560655333333332</v>
      </c>
      <c r="M8" s="28">
        <v>302930.28999999998</v>
      </c>
      <c r="N8" s="25">
        <f t="shared" si="3"/>
        <v>152930.28999999998</v>
      </c>
      <c r="O8" s="47">
        <f t="shared" si="22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23"/>
        <v>1.2518899999999999</v>
      </c>
      <c r="T8" s="28">
        <v>183223.25</v>
      </c>
      <c r="U8" s="25">
        <f t="shared" si="5"/>
        <v>-16776.75</v>
      </c>
      <c r="V8" s="18">
        <f t="shared" si="24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25"/>
        <v>1.2306406000000001</v>
      </c>
      <c r="AA8" s="28">
        <v>413578.44</v>
      </c>
      <c r="AB8" s="25">
        <f t="shared" si="7"/>
        <v>163578.44</v>
      </c>
      <c r="AC8" s="47">
        <f t="shared" si="26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27"/>
        <v>3.0624049666666666</v>
      </c>
      <c r="AH8" s="28">
        <v>1378236.43</v>
      </c>
      <c r="AI8" s="25">
        <f t="shared" si="9"/>
        <v>1078236.43</v>
      </c>
      <c r="AJ8" s="47">
        <f t="shared" si="28"/>
        <v>4.5941214333333331</v>
      </c>
      <c r="AK8" s="26">
        <v>350000</v>
      </c>
      <c r="AL8" s="16">
        <v>141282</v>
      </c>
      <c r="AM8" s="24">
        <f t="shared" si="10"/>
        <v>-208718</v>
      </c>
      <c r="AN8" s="126">
        <f t="shared" si="29"/>
        <v>0.40366285714285716</v>
      </c>
      <c r="AO8" s="132">
        <v>82357.23</v>
      </c>
      <c r="AP8" s="131">
        <f t="shared" si="11"/>
        <v>-267642.77</v>
      </c>
      <c r="AQ8" s="126">
        <f t="shared" si="30"/>
        <v>0.23530637142857141</v>
      </c>
      <c r="AR8" s="23">
        <f t="shared" si="12"/>
        <v>1350000</v>
      </c>
      <c r="AS8" s="23">
        <f t="shared" si="13"/>
        <v>1827046.56</v>
      </c>
      <c r="AT8" s="24">
        <f t="shared" si="14"/>
        <v>477046.56000000006</v>
      </c>
      <c r="AU8" s="47">
        <f t="shared" si="31"/>
        <v>1.3533678222222223</v>
      </c>
      <c r="AV8" s="16">
        <f t="shared" si="15"/>
        <v>2379460.9099999997</v>
      </c>
      <c r="AW8" s="25">
        <f t="shared" si="16"/>
        <v>1029460.9099999997</v>
      </c>
      <c r="AX8" s="47">
        <f t="shared" si="32"/>
        <v>1.7625636370370368</v>
      </c>
      <c r="AY8" s="16">
        <f t="shared" si="17"/>
        <v>304507.76</v>
      </c>
      <c r="AZ8" s="26">
        <f t="shared" si="18"/>
        <v>396576.8183333333</v>
      </c>
    </row>
    <row r="9" spans="1:52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19"/>
        <v>0</v>
      </c>
      <c r="F9" s="28"/>
      <c r="G9" s="25">
        <f t="shared" si="1"/>
        <v>-500000</v>
      </c>
      <c r="H9" s="108">
        <f t="shared" si="20"/>
        <v>0</v>
      </c>
      <c r="I9" s="106">
        <v>550000</v>
      </c>
      <c r="J9" s="107"/>
      <c r="K9" s="24">
        <f t="shared" si="2"/>
        <v>-550000</v>
      </c>
      <c r="L9" s="108">
        <f t="shared" si="21"/>
        <v>0</v>
      </c>
      <c r="M9" s="28"/>
      <c r="N9" s="25">
        <f t="shared" si="3"/>
        <v>-550000</v>
      </c>
      <c r="O9" s="18">
        <f t="shared" si="22"/>
        <v>0</v>
      </c>
      <c r="P9" s="26">
        <v>600000</v>
      </c>
      <c r="Q9" s="16"/>
      <c r="R9" s="24">
        <f t="shared" si="4"/>
        <v>-600000</v>
      </c>
      <c r="S9" s="18">
        <f t="shared" si="23"/>
        <v>0</v>
      </c>
      <c r="T9" s="28"/>
      <c r="U9" s="25">
        <f t="shared" si="5"/>
        <v>-600000</v>
      </c>
      <c r="V9" s="18">
        <f t="shared" si="24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25"/>
        <v>0.15135869230769231</v>
      </c>
      <c r="AA9" s="28">
        <v>82902.45</v>
      </c>
      <c r="AB9" s="25">
        <f t="shared" si="7"/>
        <v>-567097.55000000005</v>
      </c>
      <c r="AC9" s="18">
        <f t="shared" si="26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27"/>
        <v>6.9524285714285712E-4</v>
      </c>
      <c r="AH9" s="28">
        <v>15967.69</v>
      </c>
      <c r="AI9" s="25">
        <f t="shared" si="9"/>
        <v>-684032.31</v>
      </c>
      <c r="AJ9" s="18">
        <f t="shared" si="28"/>
        <v>2.2810985714285716E-2</v>
      </c>
      <c r="AK9" s="26">
        <v>750000</v>
      </c>
      <c r="AL9" s="16"/>
      <c r="AM9" s="24">
        <f t="shared" si="10"/>
        <v>-750000</v>
      </c>
      <c r="AN9" s="126">
        <f t="shared" si="29"/>
        <v>0</v>
      </c>
      <c r="AO9" s="132"/>
      <c r="AP9" s="131">
        <f t="shared" si="11"/>
        <v>-750000</v>
      </c>
      <c r="AQ9" s="126">
        <f t="shared" si="30"/>
        <v>0</v>
      </c>
      <c r="AR9" s="23">
        <f t="shared" si="12"/>
        <v>3750000</v>
      </c>
      <c r="AS9" s="23">
        <f t="shared" si="13"/>
        <v>98869.819999999992</v>
      </c>
      <c r="AT9" s="24">
        <f t="shared" si="14"/>
        <v>-3651130.18</v>
      </c>
      <c r="AU9" s="18">
        <f t="shared" si="31"/>
        <v>2.6365285333333332E-2</v>
      </c>
      <c r="AV9" s="16">
        <f t="shared" si="15"/>
        <v>98870.14</v>
      </c>
      <c r="AW9" s="25">
        <f t="shared" si="16"/>
        <v>-3651129.86</v>
      </c>
      <c r="AX9" s="18">
        <f t="shared" si="32"/>
        <v>2.6365370666666665E-2</v>
      </c>
      <c r="AY9" s="16">
        <f t="shared" si="17"/>
        <v>16478.303333333333</v>
      </c>
      <c r="AZ9" s="26">
        <f t="shared" si="18"/>
        <v>16478.356666666667</v>
      </c>
    </row>
    <row r="10" spans="1:52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19"/>
        <v>0.53262757049486464</v>
      </c>
      <c r="F10" s="28">
        <v>722856.95</v>
      </c>
      <c r="G10" s="25">
        <f t="shared" si="1"/>
        <v>-615893.05000000005</v>
      </c>
      <c r="H10" s="108">
        <f t="shared" si="20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21"/>
        <v>0.57890987114845938</v>
      </c>
      <c r="M10" s="28">
        <v>628695.55000000005</v>
      </c>
      <c r="N10" s="25">
        <f t="shared" si="3"/>
        <v>-710054.45</v>
      </c>
      <c r="O10" s="18">
        <f t="shared" si="22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23"/>
        <v>1.1892632306255835</v>
      </c>
      <c r="T10" s="28">
        <v>252033.57</v>
      </c>
      <c r="U10" s="25">
        <f t="shared" si="5"/>
        <v>-1086716.43</v>
      </c>
      <c r="V10" s="18">
        <f t="shared" si="24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25"/>
        <v>1.1825044481792717</v>
      </c>
      <c r="AA10" s="28">
        <v>2214145.9300000002</v>
      </c>
      <c r="AB10" s="25">
        <f t="shared" si="7"/>
        <v>875395.93000000017</v>
      </c>
      <c r="AC10" s="47">
        <f t="shared" si="26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27"/>
        <v>0.32929548459383756</v>
      </c>
      <c r="AH10" s="28">
        <v>756675.73</v>
      </c>
      <c r="AI10" s="25">
        <f t="shared" si="9"/>
        <v>-582074.27</v>
      </c>
      <c r="AJ10" s="18">
        <f t="shared" si="28"/>
        <v>0.56521062931839405</v>
      </c>
      <c r="AK10" s="23">
        <v>1338750</v>
      </c>
      <c r="AL10" s="16">
        <v>272694.53000000003</v>
      </c>
      <c r="AM10" s="24">
        <f t="shared" si="10"/>
        <v>-1066055.47</v>
      </c>
      <c r="AN10" s="126">
        <f t="shared" si="29"/>
        <v>0.20369339309056958</v>
      </c>
      <c r="AO10" s="132">
        <v>104563.37</v>
      </c>
      <c r="AP10" s="131">
        <f t="shared" si="11"/>
        <v>-1234186.6299999999</v>
      </c>
      <c r="AQ10" s="126">
        <f t="shared" si="30"/>
        <v>7.8105225023342661E-2</v>
      </c>
      <c r="AR10" s="23">
        <f t="shared" si="12"/>
        <v>8032500</v>
      </c>
      <c r="AS10" s="23">
        <f t="shared" si="13"/>
        <v>5376813.5900000008</v>
      </c>
      <c r="AT10" s="24">
        <f t="shared" si="14"/>
        <v>-2655686.4099999992</v>
      </c>
      <c r="AU10" s="18">
        <f t="shared" si="31"/>
        <v>0.66938233302209782</v>
      </c>
      <c r="AV10" s="16">
        <f t="shared" si="15"/>
        <v>4678971.1000000006</v>
      </c>
      <c r="AW10" s="25">
        <f t="shared" si="16"/>
        <v>-3353528.8999999994</v>
      </c>
      <c r="AX10" s="18">
        <f t="shared" si="32"/>
        <v>0.58250496109554939</v>
      </c>
      <c r="AY10" s="16">
        <f t="shared" si="17"/>
        <v>896135.5983333335</v>
      </c>
      <c r="AZ10" s="26">
        <f t="shared" si="18"/>
        <v>779828.51666666672</v>
      </c>
    </row>
    <row r="11" spans="1:52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19"/>
        <v>1.5186024201680672</v>
      </c>
      <c r="F11" s="28">
        <v>927392.51</v>
      </c>
      <c r="G11" s="25">
        <f t="shared" si="1"/>
        <v>-411357.49</v>
      </c>
      <c r="H11" s="108">
        <f t="shared" si="20"/>
        <v>0.69273016619981331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21"/>
        <v>1.2767597908496731</v>
      </c>
      <c r="M11" s="28">
        <v>365024.32</v>
      </c>
      <c r="N11" s="25">
        <f t="shared" si="3"/>
        <v>-973725.67999999993</v>
      </c>
      <c r="O11" s="18">
        <f t="shared" si="22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23"/>
        <v>0.45679382259570495</v>
      </c>
      <c r="T11" s="28">
        <v>615830.28</v>
      </c>
      <c r="U11" s="25">
        <f t="shared" si="5"/>
        <v>-722919.72</v>
      </c>
      <c r="V11" s="18">
        <f t="shared" si="24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25"/>
        <v>0.27551929785247437</v>
      </c>
      <c r="AA11" s="28">
        <v>381124.19</v>
      </c>
      <c r="AB11" s="25">
        <f t="shared" si="7"/>
        <v>-957625.81</v>
      </c>
      <c r="AC11" s="18">
        <f t="shared" si="26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27"/>
        <v>0.10908490009337068</v>
      </c>
      <c r="AH11" s="28">
        <v>135917.87</v>
      </c>
      <c r="AI11" s="25">
        <f t="shared" si="9"/>
        <v>-1202832.1299999999</v>
      </c>
      <c r="AJ11" s="18">
        <f t="shared" si="28"/>
        <v>0.10152595331465919</v>
      </c>
      <c r="AK11" s="23">
        <v>1338750</v>
      </c>
      <c r="AL11" s="16">
        <v>1501000.36</v>
      </c>
      <c r="AM11" s="24">
        <f t="shared" si="10"/>
        <v>162250.3600000001</v>
      </c>
      <c r="AN11" s="47">
        <f t="shared" si="29"/>
        <v>1.1211954136321196</v>
      </c>
      <c r="AO11" s="132">
        <v>875309.02</v>
      </c>
      <c r="AP11" s="131">
        <f t="shared" si="11"/>
        <v>-463440.98</v>
      </c>
      <c r="AQ11" s="126">
        <f t="shared" si="30"/>
        <v>0.65382559850606914</v>
      </c>
      <c r="AR11" s="23">
        <f t="shared" si="12"/>
        <v>8032500</v>
      </c>
      <c r="AS11" s="23">
        <f t="shared" si="13"/>
        <v>6369713.120000001</v>
      </c>
      <c r="AT11" s="24">
        <f t="shared" si="14"/>
        <v>-1662786.879999999</v>
      </c>
      <c r="AU11" s="18">
        <f t="shared" si="31"/>
        <v>0.79299260753190182</v>
      </c>
      <c r="AV11" s="16">
        <f t="shared" si="15"/>
        <v>3300598.1900000004</v>
      </c>
      <c r="AW11" s="25">
        <f t="shared" si="16"/>
        <v>-4731901.8099999996</v>
      </c>
      <c r="AX11" s="18">
        <f t="shared" si="32"/>
        <v>0.41090547027699975</v>
      </c>
      <c r="AY11" s="16">
        <f t="shared" si="17"/>
        <v>1061618.8533333335</v>
      </c>
      <c r="AZ11" s="26">
        <f t="shared" si="18"/>
        <v>550099.69833333336</v>
      </c>
    </row>
    <row r="12" spans="1:52" x14ac:dyDescent="0.3">
      <c r="A12" s="22" t="s">
        <v>54</v>
      </c>
      <c r="B12" s="23"/>
      <c r="C12" s="16"/>
      <c r="D12" s="24"/>
      <c r="E12" s="47"/>
      <c r="F12" s="28"/>
      <c r="G12" s="25"/>
      <c r="H12" s="108"/>
      <c r="I12" s="109"/>
      <c r="J12" s="107"/>
      <c r="K12" s="24"/>
      <c r="L12" s="105"/>
      <c r="M12" s="28"/>
      <c r="N12" s="25"/>
      <c r="O12" s="18"/>
      <c r="P12" s="23"/>
      <c r="Q12" s="16"/>
      <c r="R12" s="24"/>
      <c r="S12" s="18"/>
      <c r="T12" s="28"/>
      <c r="U12" s="25"/>
      <c r="V12" s="18"/>
      <c r="W12" s="23"/>
      <c r="X12" s="16"/>
      <c r="Y12" s="24"/>
      <c r="Z12" s="18"/>
      <c r="AA12" s="28"/>
      <c r="AB12" s="25"/>
      <c r="AC12" s="18"/>
      <c r="AD12" s="23"/>
      <c r="AE12" s="16"/>
      <c r="AF12" s="24"/>
      <c r="AG12" s="18"/>
      <c r="AH12" s="28"/>
      <c r="AI12" s="25"/>
      <c r="AJ12" s="18"/>
      <c r="AK12" s="23">
        <v>100000</v>
      </c>
      <c r="AL12" s="16">
        <v>77926.22</v>
      </c>
      <c r="AM12" s="24">
        <f t="shared" si="10"/>
        <v>-22073.78</v>
      </c>
      <c r="AN12" s="126">
        <f t="shared" si="29"/>
        <v>0.77926220000000002</v>
      </c>
      <c r="AO12" s="132">
        <v>96150.06</v>
      </c>
      <c r="AP12" s="131">
        <f t="shared" si="11"/>
        <v>-3849.9400000000023</v>
      </c>
      <c r="AQ12" s="126">
        <f t="shared" si="30"/>
        <v>0.96150059999999993</v>
      </c>
      <c r="AR12" s="23">
        <f t="shared" si="12"/>
        <v>100000</v>
      </c>
      <c r="AS12" s="23">
        <f t="shared" si="13"/>
        <v>77926.22</v>
      </c>
      <c r="AT12" s="24">
        <f t="shared" si="14"/>
        <v>-22073.78</v>
      </c>
      <c r="AU12" s="18">
        <f t="shared" si="31"/>
        <v>0.77926220000000002</v>
      </c>
      <c r="AV12" s="16">
        <f t="shared" si="15"/>
        <v>96150.06</v>
      </c>
      <c r="AW12" s="25">
        <f t="shared" si="16"/>
        <v>-3849.9400000000023</v>
      </c>
      <c r="AX12" s="18">
        <f t="shared" si="32"/>
        <v>0.96150059999999993</v>
      </c>
      <c r="AY12" s="16">
        <f t="shared" ref="AY12" si="33">+AS12/6</f>
        <v>12987.703333333333</v>
      </c>
      <c r="AZ12" s="26">
        <f t="shared" si="18"/>
        <v>16025.01</v>
      </c>
    </row>
    <row r="13" spans="1:52" x14ac:dyDescent="0.3">
      <c r="A13" s="22" t="s">
        <v>16</v>
      </c>
      <c r="B13" s="23">
        <v>1338750</v>
      </c>
      <c r="C13" s="16"/>
      <c r="D13" s="24">
        <f t="shared" si="0"/>
        <v>-1338750</v>
      </c>
      <c r="E13" s="18">
        <f t="shared" si="19"/>
        <v>0</v>
      </c>
      <c r="F13" s="28"/>
      <c r="G13" s="25">
        <f t="shared" si="1"/>
        <v>-1338750</v>
      </c>
      <c r="H13" s="18">
        <f t="shared" si="20"/>
        <v>0</v>
      </c>
      <c r="I13" s="23">
        <v>1338750</v>
      </c>
      <c r="J13" s="16">
        <v>8745.0499999999993</v>
      </c>
      <c r="K13" s="24">
        <f t="shared" si="2"/>
        <v>-1330004.95</v>
      </c>
      <c r="L13" s="18">
        <f t="shared" si="21"/>
        <v>6.5322502334267032E-3</v>
      </c>
      <c r="M13" s="28">
        <v>11537.74</v>
      </c>
      <c r="N13" s="25">
        <f t="shared" si="3"/>
        <v>-1327212.26</v>
      </c>
      <c r="O13" s="18">
        <f t="shared" si="22"/>
        <v>8.6182931839402423E-3</v>
      </c>
      <c r="P13" s="23">
        <v>1338750</v>
      </c>
      <c r="Q13" s="16">
        <v>120604.3</v>
      </c>
      <c r="R13" s="24">
        <f t="shared" si="4"/>
        <v>-1218145.7</v>
      </c>
      <c r="S13" s="18">
        <f t="shared" si="23"/>
        <v>9.0087245564892629E-2</v>
      </c>
      <c r="T13" s="28">
        <v>89914.14</v>
      </c>
      <c r="U13" s="25">
        <f t="shared" si="5"/>
        <v>-1248835.8600000001</v>
      </c>
      <c r="V13" s="18">
        <f t="shared" si="24"/>
        <v>6.7162756302521012E-2</v>
      </c>
      <c r="W13" s="23">
        <v>1338750</v>
      </c>
      <c r="X13" s="16">
        <v>51094.76</v>
      </c>
      <c r="Y13" s="24">
        <f t="shared" si="6"/>
        <v>-1287655.24</v>
      </c>
      <c r="Z13" s="18">
        <f t="shared" si="25"/>
        <v>3.8166020541549953E-2</v>
      </c>
      <c r="AA13" s="28"/>
      <c r="AB13" s="25">
        <f t="shared" si="7"/>
        <v>-1338750</v>
      </c>
      <c r="AC13" s="18">
        <f t="shared" si="26"/>
        <v>0</v>
      </c>
      <c r="AD13" s="23">
        <v>1338750</v>
      </c>
      <c r="AE13" s="16">
        <v>46220.78</v>
      </c>
      <c r="AF13" s="24">
        <f t="shared" si="8"/>
        <v>-1292529.22</v>
      </c>
      <c r="AG13" s="18">
        <f t="shared" si="27"/>
        <v>3.4525325863678805E-2</v>
      </c>
      <c r="AH13" s="28">
        <v>214363.17</v>
      </c>
      <c r="AI13" s="25">
        <f t="shared" si="9"/>
        <v>-1124386.83</v>
      </c>
      <c r="AJ13" s="18">
        <f t="shared" si="28"/>
        <v>0.1601218823529412</v>
      </c>
      <c r="AK13" s="23">
        <v>1338750</v>
      </c>
      <c r="AL13" s="16">
        <v>143506.5</v>
      </c>
      <c r="AM13" s="24">
        <f t="shared" si="10"/>
        <v>-1195243.5</v>
      </c>
      <c r="AN13" s="126">
        <f t="shared" si="29"/>
        <v>0.10719439775910364</v>
      </c>
      <c r="AO13" s="132">
        <v>111180.83</v>
      </c>
      <c r="AP13" s="131">
        <f t="shared" si="11"/>
        <v>-1227569.17</v>
      </c>
      <c r="AQ13" s="126">
        <f t="shared" si="30"/>
        <v>8.3048239028944912E-2</v>
      </c>
      <c r="AR13" s="23">
        <f t="shared" si="12"/>
        <v>8032500</v>
      </c>
      <c r="AS13" s="23">
        <f t="shared" si="13"/>
        <v>370171.39</v>
      </c>
      <c r="AT13" s="24">
        <f t="shared" si="14"/>
        <v>-7662328.6100000003</v>
      </c>
      <c r="AU13" s="18">
        <f t="shared" si="31"/>
        <v>4.6084206660441954E-2</v>
      </c>
      <c r="AV13" s="16">
        <f t="shared" si="15"/>
        <v>426995.88000000006</v>
      </c>
      <c r="AW13" s="25">
        <f t="shared" si="16"/>
        <v>-7605504.1200000001</v>
      </c>
      <c r="AX13" s="18">
        <f t="shared" si="32"/>
        <v>5.3158528478057895E-2</v>
      </c>
      <c r="AY13" s="16">
        <f t="shared" si="17"/>
        <v>61695.231666666667</v>
      </c>
      <c r="AZ13" s="26">
        <f t="shared" si="18"/>
        <v>71165.98000000001</v>
      </c>
    </row>
    <row r="14" spans="1:52" x14ac:dyDescent="0.3">
      <c r="A14" s="22" t="s">
        <v>17</v>
      </c>
      <c r="B14" s="23"/>
      <c r="C14" s="16">
        <v>87046.92</v>
      </c>
      <c r="D14" s="24">
        <f t="shared" si="0"/>
        <v>87046.92</v>
      </c>
      <c r="E14" s="18"/>
      <c r="F14" s="28"/>
      <c r="G14" s="25">
        <f>+F14-B14</f>
        <v>0</v>
      </c>
      <c r="H14" s="18"/>
      <c r="I14" s="23"/>
      <c r="J14" s="16">
        <v>115746.49</v>
      </c>
      <c r="K14" s="24">
        <f t="shared" si="2"/>
        <v>115746.49</v>
      </c>
      <c r="L14" s="18"/>
      <c r="M14" s="28"/>
      <c r="N14" s="25">
        <f>+M14-I14</f>
        <v>0</v>
      </c>
      <c r="O14" s="18"/>
      <c r="P14" s="23"/>
      <c r="Q14" s="16">
        <v>91092.4</v>
      </c>
      <c r="R14" s="24">
        <f t="shared" si="4"/>
        <v>91092.4</v>
      </c>
      <c r="S14" s="18"/>
      <c r="T14" s="28"/>
      <c r="U14" s="25">
        <f>+T14-P14</f>
        <v>0</v>
      </c>
      <c r="V14" s="18"/>
      <c r="W14" s="23"/>
      <c r="X14" s="16"/>
      <c r="Y14" s="24">
        <f t="shared" si="6"/>
        <v>0</v>
      </c>
      <c r="Z14" s="18"/>
      <c r="AA14" s="28"/>
      <c r="AB14" s="25">
        <f>+AA14-W14</f>
        <v>0</v>
      </c>
      <c r="AC14" s="18"/>
      <c r="AD14" s="23"/>
      <c r="AE14" s="16">
        <v>0</v>
      </c>
      <c r="AF14" s="24">
        <f t="shared" si="8"/>
        <v>0</v>
      </c>
      <c r="AG14" s="18"/>
      <c r="AH14" s="28"/>
      <c r="AI14" s="25">
        <f>+AH14-AD14</f>
        <v>0</v>
      </c>
      <c r="AJ14" s="18"/>
      <c r="AK14" s="23"/>
      <c r="AL14" s="16">
        <v>1358.5</v>
      </c>
      <c r="AM14" s="24">
        <f t="shared" si="10"/>
        <v>1358.5</v>
      </c>
      <c r="AN14" s="126"/>
      <c r="AO14" s="132"/>
      <c r="AP14" s="131">
        <f>+AO14-AK14</f>
        <v>0</v>
      </c>
      <c r="AQ14" s="126"/>
      <c r="AR14" s="23">
        <f t="shared" si="12"/>
        <v>0</v>
      </c>
      <c r="AS14" s="23">
        <f t="shared" si="13"/>
        <v>295244.31</v>
      </c>
      <c r="AT14" s="24">
        <f t="shared" si="14"/>
        <v>295244.31</v>
      </c>
      <c r="AU14" s="18"/>
      <c r="AV14" s="16">
        <f t="shared" si="15"/>
        <v>0</v>
      </c>
      <c r="AW14" s="25">
        <f t="shared" si="16"/>
        <v>0</v>
      </c>
      <c r="AX14" s="18"/>
      <c r="AY14" s="16">
        <f t="shared" si="17"/>
        <v>49207.385000000002</v>
      </c>
      <c r="AZ14" s="26">
        <f t="shared" si="18"/>
        <v>0</v>
      </c>
    </row>
    <row r="15" spans="1:52" x14ac:dyDescent="0.3">
      <c r="A15" s="22" t="s">
        <v>18</v>
      </c>
      <c r="B15" s="23">
        <v>1338750</v>
      </c>
      <c r="C15" s="16">
        <v>61312.93</v>
      </c>
      <c r="D15" s="24">
        <f t="shared" si="0"/>
        <v>-1277437.07</v>
      </c>
      <c r="E15" s="18">
        <f t="shared" ref="E15:E19" si="34">+C15/B15</f>
        <v>4.5798640522875821E-2</v>
      </c>
      <c r="F15" s="28">
        <v>100067.31</v>
      </c>
      <c r="G15" s="25">
        <f t="shared" si="1"/>
        <v>-1238682.69</v>
      </c>
      <c r="H15" s="18">
        <f t="shared" si="20"/>
        <v>7.4746823529411768E-2</v>
      </c>
      <c r="I15" s="23">
        <v>1338750</v>
      </c>
      <c r="J15" s="16">
        <v>198933.59</v>
      </c>
      <c r="K15" s="24">
        <f t="shared" si="2"/>
        <v>-1139816.4099999999</v>
      </c>
      <c r="L15" s="18">
        <f t="shared" ref="L15:L19" si="35">+J15/I15</f>
        <v>0.14859651914098973</v>
      </c>
      <c r="M15" s="28">
        <v>70010.070000000007</v>
      </c>
      <c r="N15" s="25">
        <f t="shared" ref="N15:N19" si="36">+M15-I15</f>
        <v>-1268739.93</v>
      </c>
      <c r="O15" s="18">
        <f t="shared" ref="O15:O19" si="37">+M15/I15</f>
        <v>5.2295103641456585E-2</v>
      </c>
      <c r="P15" s="23">
        <v>1338750</v>
      </c>
      <c r="Q15" s="16">
        <v>292575.34999999998</v>
      </c>
      <c r="R15" s="24">
        <f t="shared" si="4"/>
        <v>-1046174.65</v>
      </c>
      <c r="S15" s="18">
        <f t="shared" ref="S15:S19" si="38">+Q15/P15</f>
        <v>0.21854367880485526</v>
      </c>
      <c r="T15" s="28">
        <v>315180.46999999997</v>
      </c>
      <c r="U15" s="25">
        <f t="shared" ref="U15:U19" si="39">+T15-P15</f>
        <v>-1023569.53</v>
      </c>
      <c r="V15" s="18">
        <f t="shared" ref="V15:V19" si="40">+T15/P15</f>
        <v>0.23542892250233424</v>
      </c>
      <c r="W15" s="23">
        <v>1338750</v>
      </c>
      <c r="X15" s="16">
        <v>573857.67000000004</v>
      </c>
      <c r="Y15" s="24">
        <f t="shared" si="6"/>
        <v>-764892.33</v>
      </c>
      <c r="Z15" s="18">
        <f t="shared" ref="Z15" si="41">+X15/W15</f>
        <v>0.42865185434173675</v>
      </c>
      <c r="AA15" s="28">
        <v>274355.09000000003</v>
      </c>
      <c r="AB15" s="25">
        <f t="shared" ref="AB15:AB19" si="42">+AA15-W15</f>
        <v>-1064394.9099999999</v>
      </c>
      <c r="AC15" s="18">
        <f t="shared" ref="AC15" si="43">+AA15/W15</f>
        <v>0.20493377404295055</v>
      </c>
      <c r="AD15" s="23">
        <v>1338750</v>
      </c>
      <c r="AE15" s="16">
        <v>488350.75</v>
      </c>
      <c r="AF15" s="24">
        <f t="shared" si="8"/>
        <v>-850399.25</v>
      </c>
      <c r="AG15" s="18">
        <f t="shared" ref="AG15" si="44">+AE15/AD15</f>
        <v>0.36478113912231558</v>
      </c>
      <c r="AH15" s="28">
        <v>1263758.79</v>
      </c>
      <c r="AI15" s="25">
        <f t="shared" ref="AI15:AI19" si="45">+AH15-AD15</f>
        <v>-74991.209999999963</v>
      </c>
      <c r="AJ15" s="18">
        <f t="shared" ref="AJ15" si="46">+AH15/AD15</f>
        <v>0.94398415686274517</v>
      </c>
      <c r="AK15" s="23">
        <v>1338750</v>
      </c>
      <c r="AL15" s="16">
        <v>1840443.58</v>
      </c>
      <c r="AM15" s="24">
        <f t="shared" si="10"/>
        <v>501693.58000000007</v>
      </c>
      <c r="AN15" s="47">
        <f t="shared" ref="AN15" si="47">+AL15/AK15</f>
        <v>1.374747772175537</v>
      </c>
      <c r="AO15" s="132">
        <v>2179467.33</v>
      </c>
      <c r="AP15" s="131">
        <f t="shared" ref="AP15:AP19" si="48">+AO15-AK15</f>
        <v>840717.33000000007</v>
      </c>
      <c r="AQ15" s="47">
        <f t="shared" ref="AQ15" si="49">+AO15/AK15</f>
        <v>1.6279868011204481</v>
      </c>
      <c r="AR15" s="23">
        <f t="shared" si="12"/>
        <v>8032500</v>
      </c>
      <c r="AS15" s="23">
        <f t="shared" si="13"/>
        <v>3455473.87</v>
      </c>
      <c r="AT15" s="24">
        <f t="shared" si="14"/>
        <v>-4577026.13</v>
      </c>
      <c r="AU15" s="18">
        <f t="shared" si="31"/>
        <v>0.43018660068471837</v>
      </c>
      <c r="AV15" s="16">
        <f t="shared" si="15"/>
        <v>4202839.0600000005</v>
      </c>
      <c r="AW15" s="25">
        <f t="shared" si="16"/>
        <v>-3829660.9399999995</v>
      </c>
      <c r="AX15" s="18">
        <f t="shared" si="32"/>
        <v>0.52322926361655775</v>
      </c>
      <c r="AY15" s="16">
        <f t="shared" si="17"/>
        <v>575912.31166666665</v>
      </c>
      <c r="AZ15" s="26">
        <f t="shared" si="18"/>
        <v>700473.17666666675</v>
      </c>
    </row>
    <row r="16" spans="1:52" x14ac:dyDescent="0.3">
      <c r="A16" s="22" t="s">
        <v>19</v>
      </c>
      <c r="B16" s="23">
        <v>400000</v>
      </c>
      <c r="C16" s="16">
        <v>29901.71</v>
      </c>
      <c r="D16" s="24">
        <f t="shared" si="0"/>
        <v>-370098.29</v>
      </c>
      <c r="E16" s="18">
        <f t="shared" si="34"/>
        <v>7.4754274999999995E-2</v>
      </c>
      <c r="F16" s="28">
        <v>24830.18</v>
      </c>
      <c r="G16" s="25">
        <f t="shared" si="1"/>
        <v>-375169.82</v>
      </c>
      <c r="H16" s="18">
        <f t="shared" si="20"/>
        <v>6.2075449999999997E-2</v>
      </c>
      <c r="I16" s="23">
        <v>450000</v>
      </c>
      <c r="J16" s="16">
        <v>17492.240000000002</v>
      </c>
      <c r="K16" s="24">
        <f t="shared" si="2"/>
        <v>-432507.76</v>
      </c>
      <c r="L16" s="18">
        <f t="shared" si="35"/>
        <v>3.887164444444445E-2</v>
      </c>
      <c r="M16" s="28">
        <v>17490.080000000002</v>
      </c>
      <c r="N16" s="25">
        <f t="shared" si="36"/>
        <v>-432509.92</v>
      </c>
      <c r="O16" s="18">
        <f t="shared" si="37"/>
        <v>3.8866844444444451E-2</v>
      </c>
      <c r="P16" s="23"/>
      <c r="Q16" s="16"/>
      <c r="R16" s="24">
        <f t="shared" si="4"/>
        <v>0</v>
      </c>
      <c r="S16" s="18"/>
      <c r="T16" s="28"/>
      <c r="U16" s="25">
        <f t="shared" si="39"/>
        <v>0</v>
      </c>
      <c r="V16" s="18"/>
      <c r="W16" s="23"/>
      <c r="X16" s="16"/>
      <c r="Y16" s="24">
        <f t="shared" si="6"/>
        <v>0</v>
      </c>
      <c r="Z16" s="18"/>
      <c r="AA16" s="28"/>
      <c r="AB16" s="25">
        <f t="shared" si="42"/>
        <v>0</v>
      </c>
      <c r="AC16" s="18"/>
      <c r="AD16" s="23"/>
      <c r="AE16" s="16"/>
      <c r="AF16" s="24">
        <f t="shared" si="8"/>
        <v>0</v>
      </c>
      <c r="AG16" s="18"/>
      <c r="AH16" s="28"/>
      <c r="AI16" s="25">
        <f t="shared" si="45"/>
        <v>0</v>
      </c>
      <c r="AJ16" s="18"/>
      <c r="AK16" s="23"/>
      <c r="AL16" s="16"/>
      <c r="AM16" s="24">
        <f t="shared" si="10"/>
        <v>0</v>
      </c>
      <c r="AN16" s="126"/>
      <c r="AO16" s="132"/>
      <c r="AP16" s="131">
        <f t="shared" si="48"/>
        <v>0</v>
      </c>
      <c r="AQ16" s="126"/>
      <c r="AR16" s="23">
        <f t="shared" si="12"/>
        <v>850000</v>
      </c>
      <c r="AS16" s="23">
        <f t="shared" si="13"/>
        <v>47393.95</v>
      </c>
      <c r="AT16" s="24">
        <f t="shared" si="14"/>
        <v>-802606.05</v>
      </c>
      <c r="AU16" s="18">
        <f t="shared" si="31"/>
        <v>5.5757588235294114E-2</v>
      </c>
      <c r="AV16" s="16">
        <f t="shared" si="15"/>
        <v>42320.26</v>
      </c>
      <c r="AW16" s="25">
        <f t="shared" si="16"/>
        <v>-807679.74</v>
      </c>
      <c r="AX16" s="18">
        <f t="shared" si="32"/>
        <v>4.9788541176470594E-2</v>
      </c>
      <c r="AY16" s="16">
        <f t="shared" si="17"/>
        <v>7898.9916666666659</v>
      </c>
      <c r="AZ16" s="26">
        <f t="shared" si="18"/>
        <v>7053.376666666667</v>
      </c>
    </row>
    <row r="17" spans="1:52" x14ac:dyDescent="0.3">
      <c r="A17" s="22" t="s">
        <v>20</v>
      </c>
      <c r="B17" s="23">
        <v>1338750</v>
      </c>
      <c r="C17" s="16">
        <v>110791.25</v>
      </c>
      <c r="D17" s="24">
        <f t="shared" si="0"/>
        <v>-1227958.75</v>
      </c>
      <c r="E17" s="18">
        <f t="shared" si="34"/>
        <v>8.2757236227824466E-2</v>
      </c>
      <c r="F17" s="28">
        <v>136979.66</v>
      </c>
      <c r="G17" s="25">
        <f t="shared" si="1"/>
        <v>-1201770.3400000001</v>
      </c>
      <c r="H17" s="18">
        <f t="shared" si="20"/>
        <v>0.10231907376283847</v>
      </c>
      <c r="I17" s="23">
        <v>1338750</v>
      </c>
      <c r="J17" s="16">
        <v>78051.38</v>
      </c>
      <c r="K17" s="24">
        <f t="shared" si="2"/>
        <v>-1260698.6200000001</v>
      </c>
      <c r="L17" s="18">
        <f t="shared" si="35"/>
        <v>5.8301684407096176E-2</v>
      </c>
      <c r="M17" s="28">
        <v>40912.379999999997</v>
      </c>
      <c r="N17" s="25">
        <f t="shared" si="36"/>
        <v>-1297837.6200000001</v>
      </c>
      <c r="O17" s="18">
        <f t="shared" si="37"/>
        <v>3.0560134453781512E-2</v>
      </c>
      <c r="P17" s="23">
        <v>1338750</v>
      </c>
      <c r="Q17" s="16">
        <v>506672.98</v>
      </c>
      <c r="R17" s="24">
        <f t="shared" si="4"/>
        <v>-832077.02</v>
      </c>
      <c r="S17" s="18">
        <f t="shared" si="38"/>
        <v>0.37846721195144722</v>
      </c>
      <c r="T17" s="28">
        <v>952568.93</v>
      </c>
      <c r="U17" s="25">
        <f t="shared" si="39"/>
        <v>-386181.06999999995</v>
      </c>
      <c r="V17" s="18">
        <f t="shared" si="40"/>
        <v>0.7115360821661999</v>
      </c>
      <c r="W17" s="23">
        <v>1338750</v>
      </c>
      <c r="X17" s="16">
        <v>1183557.54</v>
      </c>
      <c r="Y17" s="24">
        <f t="shared" si="6"/>
        <v>-155192.45999999996</v>
      </c>
      <c r="Z17" s="18">
        <f t="shared" ref="Z17:Z19" si="50">+X17/W17</f>
        <v>0.88407659383753501</v>
      </c>
      <c r="AA17" s="28">
        <v>1644577.69</v>
      </c>
      <c r="AB17" s="25">
        <f t="shared" si="42"/>
        <v>305827.68999999994</v>
      </c>
      <c r="AC17" s="47">
        <f t="shared" ref="AC17:AC19" si="51">+AA17/W17</f>
        <v>1.2284427189542484</v>
      </c>
      <c r="AD17" s="23">
        <v>1338750</v>
      </c>
      <c r="AE17" s="16">
        <v>108786.81</v>
      </c>
      <c r="AF17" s="24">
        <f t="shared" si="8"/>
        <v>-1229963.19</v>
      </c>
      <c r="AG17" s="18">
        <f t="shared" ref="AG17:AG19" si="52">+AE17/AD17</f>
        <v>8.1259988795518212E-2</v>
      </c>
      <c r="AH17" s="28">
        <v>140161.89000000001</v>
      </c>
      <c r="AI17" s="25">
        <f t="shared" si="45"/>
        <v>-1198588.1099999999</v>
      </c>
      <c r="AJ17" s="18">
        <f t="shared" ref="AJ17:AJ19" si="53">+AH17/AD17</f>
        <v>0.10469608963585435</v>
      </c>
      <c r="AK17" s="23">
        <v>1338750</v>
      </c>
      <c r="AL17" s="16">
        <v>74020.34</v>
      </c>
      <c r="AM17" s="24">
        <f t="shared" si="10"/>
        <v>-1264729.6599999999</v>
      </c>
      <c r="AN17" s="126">
        <f t="shared" ref="AN17:AN19" si="54">+AL17/AK17</f>
        <v>5.5290636788048547E-2</v>
      </c>
      <c r="AO17" s="132">
        <v>146005.68</v>
      </c>
      <c r="AP17" s="131">
        <f t="shared" si="48"/>
        <v>-1192744.32</v>
      </c>
      <c r="AQ17" s="126">
        <f t="shared" ref="AQ17:AQ19" si="55">+AO17/AK17</f>
        <v>0.10906119887955182</v>
      </c>
      <c r="AR17" s="23">
        <f t="shared" si="12"/>
        <v>8032500</v>
      </c>
      <c r="AS17" s="23">
        <f t="shared" si="13"/>
        <v>2061880.3</v>
      </c>
      <c r="AT17" s="24">
        <f t="shared" si="14"/>
        <v>-5970619.7000000002</v>
      </c>
      <c r="AU17" s="18">
        <f t="shared" si="31"/>
        <v>0.25669222533457831</v>
      </c>
      <c r="AV17" s="16">
        <f t="shared" si="15"/>
        <v>3061206.2300000004</v>
      </c>
      <c r="AW17" s="25">
        <f t="shared" si="16"/>
        <v>-4971293.7699999996</v>
      </c>
      <c r="AX17" s="18">
        <f t="shared" si="32"/>
        <v>0.38110254964207912</v>
      </c>
      <c r="AY17" s="16">
        <f t="shared" si="17"/>
        <v>343646.71666666667</v>
      </c>
      <c r="AZ17" s="26">
        <f t="shared" si="18"/>
        <v>510201.03833333339</v>
      </c>
    </row>
    <row r="18" spans="1:52" x14ac:dyDescent="0.3">
      <c r="A18" s="22" t="s">
        <v>21</v>
      </c>
      <c r="B18" s="23">
        <v>1338750</v>
      </c>
      <c r="C18" s="16">
        <v>2188130.21</v>
      </c>
      <c r="D18" s="24">
        <f t="shared" si="0"/>
        <v>849380.21</v>
      </c>
      <c r="E18" s="47">
        <f t="shared" si="34"/>
        <v>1.6344576732026144</v>
      </c>
      <c r="F18" s="29">
        <v>349914.15</v>
      </c>
      <c r="G18" s="25">
        <f t="shared" si="1"/>
        <v>-988835.85</v>
      </c>
      <c r="H18" s="18">
        <f t="shared" si="20"/>
        <v>0.26137378151260504</v>
      </c>
      <c r="I18" s="23">
        <v>1338750</v>
      </c>
      <c r="J18" s="16">
        <v>16172227.199999999</v>
      </c>
      <c r="K18" s="24">
        <f t="shared" si="2"/>
        <v>14833477.199999999</v>
      </c>
      <c r="L18" s="47">
        <f t="shared" si="35"/>
        <v>12.080095014005602</v>
      </c>
      <c r="M18" s="29">
        <v>5659626.5</v>
      </c>
      <c r="N18" s="25">
        <f t="shared" si="36"/>
        <v>4320876.5</v>
      </c>
      <c r="O18" s="47">
        <f t="shared" si="37"/>
        <v>4.2275454715219425</v>
      </c>
      <c r="P18" s="23">
        <v>1338750</v>
      </c>
      <c r="Q18" s="16">
        <v>5101264.1900000004</v>
      </c>
      <c r="R18" s="24">
        <f t="shared" si="4"/>
        <v>3762514.1900000004</v>
      </c>
      <c r="S18" s="47">
        <f t="shared" si="38"/>
        <v>3.8104681157796456</v>
      </c>
      <c r="T18" s="28">
        <v>1892875.05</v>
      </c>
      <c r="U18" s="25">
        <f t="shared" si="39"/>
        <v>554125.05000000005</v>
      </c>
      <c r="V18" s="47">
        <f t="shared" si="40"/>
        <v>1.4139122689075632</v>
      </c>
      <c r="W18" s="23">
        <v>1338750</v>
      </c>
      <c r="X18" s="16">
        <v>2461509.7799999998</v>
      </c>
      <c r="Y18" s="24">
        <f t="shared" si="6"/>
        <v>1122759.7799999998</v>
      </c>
      <c r="Z18" s="47">
        <f t="shared" si="50"/>
        <v>1.8386627675070026</v>
      </c>
      <c r="AA18" s="29">
        <v>3085661.51</v>
      </c>
      <c r="AB18" s="25">
        <f t="shared" si="42"/>
        <v>1746911.5099999998</v>
      </c>
      <c r="AC18" s="47">
        <f t="shared" si="51"/>
        <v>2.3048825471521939</v>
      </c>
      <c r="AD18" s="23">
        <v>1338750</v>
      </c>
      <c r="AE18" s="16">
        <v>1320118.92</v>
      </c>
      <c r="AF18" s="24">
        <f t="shared" si="8"/>
        <v>-18631.080000000075</v>
      </c>
      <c r="AG18" s="18">
        <f t="shared" si="52"/>
        <v>0.98608322689075623</v>
      </c>
      <c r="AH18" s="29">
        <v>3752930.45</v>
      </c>
      <c r="AI18" s="25">
        <f t="shared" si="45"/>
        <v>2414180.4500000002</v>
      </c>
      <c r="AJ18" s="47">
        <f t="shared" si="53"/>
        <v>2.8033093930905695</v>
      </c>
      <c r="AK18" s="23">
        <v>1338750</v>
      </c>
      <c r="AL18" s="16">
        <v>5457058.8799999999</v>
      </c>
      <c r="AM18" s="24">
        <f t="shared" si="10"/>
        <v>4118308.88</v>
      </c>
      <c r="AN18" s="47">
        <f t="shared" si="54"/>
        <v>4.0762344575163398</v>
      </c>
      <c r="AO18" s="130">
        <v>1054013.69</v>
      </c>
      <c r="AP18" s="131">
        <f t="shared" si="48"/>
        <v>-284736.31000000006</v>
      </c>
      <c r="AQ18" s="126">
        <f t="shared" si="55"/>
        <v>0.78731181325863675</v>
      </c>
      <c r="AR18" s="23">
        <f t="shared" si="12"/>
        <v>8032500</v>
      </c>
      <c r="AS18" s="23">
        <f t="shared" si="13"/>
        <v>32700309.180000003</v>
      </c>
      <c r="AT18" s="24">
        <f t="shared" si="14"/>
        <v>24667809.180000003</v>
      </c>
      <c r="AU18" s="47">
        <f t="shared" si="31"/>
        <v>4.071000209150327</v>
      </c>
      <c r="AV18" s="16">
        <f t="shared" si="15"/>
        <v>15795021.35</v>
      </c>
      <c r="AW18" s="25">
        <f t="shared" si="16"/>
        <v>7762521.3499999996</v>
      </c>
      <c r="AX18" s="47">
        <f t="shared" si="32"/>
        <v>1.9663892125739184</v>
      </c>
      <c r="AY18" s="16">
        <f t="shared" si="17"/>
        <v>5450051.5300000003</v>
      </c>
      <c r="AZ18" s="26">
        <f t="shared" si="18"/>
        <v>2632503.5583333331</v>
      </c>
    </row>
    <row r="19" spans="1:52" x14ac:dyDescent="0.3">
      <c r="A19" s="22" t="s">
        <v>22</v>
      </c>
      <c r="B19" s="23">
        <v>500000</v>
      </c>
      <c r="C19" s="16">
        <v>552980.43000000005</v>
      </c>
      <c r="D19" s="24">
        <f t="shared" si="0"/>
        <v>52980.430000000051</v>
      </c>
      <c r="E19" s="47">
        <f t="shared" si="34"/>
        <v>1.1059608600000002</v>
      </c>
      <c r="F19" s="29">
        <v>551981.43000000005</v>
      </c>
      <c r="G19" s="25">
        <f t="shared" si="1"/>
        <v>51981.430000000051</v>
      </c>
      <c r="H19" s="47">
        <f t="shared" si="20"/>
        <v>1.1039628600000002</v>
      </c>
      <c r="I19" s="23">
        <v>550000</v>
      </c>
      <c r="J19" s="16">
        <v>1283683.3700000001</v>
      </c>
      <c r="K19" s="24">
        <f t="shared" si="2"/>
        <v>733683.37000000011</v>
      </c>
      <c r="L19" s="47">
        <f t="shared" si="35"/>
        <v>2.3339697636363637</v>
      </c>
      <c r="M19" s="29">
        <v>1508451.15</v>
      </c>
      <c r="N19" s="25">
        <f t="shared" si="36"/>
        <v>958451.14999999991</v>
      </c>
      <c r="O19" s="47">
        <f t="shared" si="37"/>
        <v>2.7426384545454545</v>
      </c>
      <c r="P19" s="23">
        <v>600000</v>
      </c>
      <c r="Q19" s="16">
        <v>884030.54</v>
      </c>
      <c r="R19" s="24">
        <f t="shared" si="4"/>
        <v>284030.54000000004</v>
      </c>
      <c r="S19" s="47">
        <f t="shared" si="38"/>
        <v>1.4733842333333333</v>
      </c>
      <c r="T19" s="29">
        <v>345604.95</v>
      </c>
      <c r="U19" s="25">
        <f t="shared" si="39"/>
        <v>-254395.05</v>
      </c>
      <c r="V19" s="18">
        <f t="shared" si="40"/>
        <v>0.57600825</v>
      </c>
      <c r="W19" s="23">
        <v>650000</v>
      </c>
      <c r="X19" s="16">
        <v>620234.69999999995</v>
      </c>
      <c r="Y19" s="24">
        <f t="shared" si="6"/>
        <v>-29765.300000000047</v>
      </c>
      <c r="Z19" s="18">
        <f t="shared" si="50"/>
        <v>0.95420723076923075</v>
      </c>
      <c r="AA19" s="29">
        <v>801040.53</v>
      </c>
      <c r="AB19" s="25">
        <f t="shared" si="42"/>
        <v>151040.53000000003</v>
      </c>
      <c r="AC19" s="47">
        <f t="shared" si="51"/>
        <v>1.2323700461538463</v>
      </c>
      <c r="AD19" s="23">
        <v>700000</v>
      </c>
      <c r="AE19" s="16">
        <v>805853.51</v>
      </c>
      <c r="AF19" s="24">
        <f t="shared" si="8"/>
        <v>105853.51000000001</v>
      </c>
      <c r="AG19" s="47">
        <f t="shared" si="52"/>
        <v>1.1512192999999999</v>
      </c>
      <c r="AH19" s="29">
        <v>598551.30000000005</v>
      </c>
      <c r="AI19" s="25">
        <f t="shared" si="45"/>
        <v>-101448.69999999995</v>
      </c>
      <c r="AJ19" s="18">
        <f t="shared" si="53"/>
        <v>0.85507328571428576</v>
      </c>
      <c r="AK19" s="23">
        <v>750000</v>
      </c>
      <c r="AL19" s="16">
        <v>577431.47</v>
      </c>
      <c r="AM19" s="24">
        <f t="shared" si="10"/>
        <v>-172568.53000000003</v>
      </c>
      <c r="AN19" s="126">
        <f t="shared" si="54"/>
        <v>0.7699086266666666</v>
      </c>
      <c r="AO19" s="130">
        <v>562600.11</v>
      </c>
      <c r="AP19" s="131">
        <f t="shared" si="48"/>
        <v>-187399.89</v>
      </c>
      <c r="AQ19" s="126">
        <f t="shared" si="55"/>
        <v>0.75013348000000002</v>
      </c>
      <c r="AR19" s="23">
        <f t="shared" si="12"/>
        <v>3750000</v>
      </c>
      <c r="AS19" s="23">
        <f t="shared" si="13"/>
        <v>4724214.0199999996</v>
      </c>
      <c r="AT19" s="24">
        <f t="shared" si="14"/>
        <v>974214.01999999955</v>
      </c>
      <c r="AU19" s="47">
        <f t="shared" si="31"/>
        <v>1.2597904053333333</v>
      </c>
      <c r="AV19" s="16">
        <f t="shared" si="15"/>
        <v>4368229.4700000007</v>
      </c>
      <c r="AW19" s="25">
        <f t="shared" si="16"/>
        <v>618229.47000000067</v>
      </c>
      <c r="AX19" s="47">
        <f t="shared" si="32"/>
        <v>1.1648611920000003</v>
      </c>
      <c r="AY19" s="16">
        <f t="shared" si="17"/>
        <v>787369.0033333333</v>
      </c>
      <c r="AZ19" s="26">
        <f t="shared" si="18"/>
        <v>728038.24500000011</v>
      </c>
    </row>
    <row r="20" spans="1:52" x14ac:dyDescent="0.3">
      <c r="A20" s="22" t="s">
        <v>26</v>
      </c>
      <c r="B20" s="23"/>
      <c r="C20" s="16">
        <v>60669.83</v>
      </c>
      <c r="D20" s="24">
        <f>+C20-B20</f>
        <v>60669.83</v>
      </c>
      <c r="E20" s="18"/>
      <c r="F20" s="28">
        <v>74635.009999999995</v>
      </c>
      <c r="G20" s="25">
        <f>+F20-B20</f>
        <v>74635.009999999995</v>
      </c>
      <c r="H20" s="18"/>
      <c r="I20" s="23"/>
      <c r="J20" s="16">
        <f>327.32+8787.51</f>
        <v>9114.83</v>
      </c>
      <c r="K20" s="24">
        <f>+J20-I20</f>
        <v>9114.83</v>
      </c>
      <c r="L20" s="18"/>
      <c r="M20" s="28">
        <v>5256.55</v>
      </c>
      <c r="N20" s="25">
        <f>+M20-I20</f>
        <v>5256.55</v>
      </c>
      <c r="O20" s="18"/>
      <c r="P20" s="23"/>
      <c r="Q20" s="16">
        <v>33104.07</v>
      </c>
      <c r="R20" s="24">
        <f>+Q20-P20</f>
        <v>33104.07</v>
      </c>
      <c r="S20" s="18"/>
      <c r="T20" s="28">
        <v>23024.37</v>
      </c>
      <c r="U20" s="25">
        <f>+T20-P20</f>
        <v>23024.37</v>
      </c>
      <c r="V20" s="18"/>
      <c r="W20" s="23"/>
      <c r="X20" s="16">
        <v>10029.39</v>
      </c>
      <c r="Y20" s="24">
        <f>+X20-W20</f>
        <v>10029.39</v>
      </c>
      <c r="Z20" s="18"/>
      <c r="AA20" s="28">
        <v>9296.48</v>
      </c>
      <c r="AB20" s="25">
        <f>+AA20-W20</f>
        <v>9296.48</v>
      </c>
      <c r="AC20" s="18"/>
      <c r="AD20" s="23"/>
      <c r="AE20" s="16">
        <v>19130.11</v>
      </c>
      <c r="AF20" s="24">
        <f>+AE20-AD20</f>
        <v>19130.11</v>
      </c>
      <c r="AG20" s="18"/>
      <c r="AH20" s="28">
        <v>19324.61</v>
      </c>
      <c r="AI20" s="25">
        <f>+AH20-AD20</f>
        <v>19324.61</v>
      </c>
      <c r="AJ20" s="18"/>
      <c r="AK20" s="23"/>
      <c r="AL20" s="16">
        <v>12918.1</v>
      </c>
      <c r="AM20" s="24">
        <f>+AL20-AK20</f>
        <v>12918.1</v>
      </c>
      <c r="AN20" s="126"/>
      <c r="AO20" s="132">
        <v>12883.06</v>
      </c>
      <c r="AP20" s="131">
        <f>+AO20-AK20</f>
        <v>12883.06</v>
      </c>
      <c r="AQ20" s="126"/>
      <c r="AR20" s="23">
        <f t="shared" si="12"/>
        <v>0</v>
      </c>
      <c r="AS20" s="23">
        <f t="shared" si="13"/>
        <v>144966.33000000002</v>
      </c>
      <c r="AT20" s="24">
        <f t="shared" si="14"/>
        <v>144966.33000000002</v>
      </c>
      <c r="AU20" s="18"/>
      <c r="AV20" s="16">
        <f t="shared" si="15"/>
        <v>144420.07999999999</v>
      </c>
      <c r="AW20" s="25">
        <f t="shared" si="16"/>
        <v>144420.07999999999</v>
      </c>
      <c r="AX20" s="18"/>
      <c r="AY20" s="16">
        <f t="shared" si="17"/>
        <v>24161.055000000004</v>
      </c>
      <c r="AZ20" s="26">
        <f t="shared" si="18"/>
        <v>24070.013333333332</v>
      </c>
    </row>
    <row r="21" spans="1:52" ht="15" thickBot="1" x14ac:dyDescent="0.35">
      <c r="A21" s="22"/>
      <c r="B21" s="23"/>
      <c r="C21" s="16"/>
      <c r="D21" s="24"/>
      <c r="E21" s="30"/>
      <c r="F21" s="29"/>
      <c r="G21" s="25"/>
      <c r="H21" s="18"/>
      <c r="I21" s="23"/>
      <c r="J21" s="16"/>
      <c r="K21" s="24"/>
      <c r="L21" s="30"/>
      <c r="M21" s="29"/>
      <c r="N21" s="25"/>
      <c r="O21" s="18"/>
      <c r="P21" s="23"/>
      <c r="Q21" s="16"/>
      <c r="R21" s="24"/>
      <c r="S21" s="30"/>
      <c r="T21" s="29"/>
      <c r="U21" s="25"/>
      <c r="V21" s="18"/>
      <c r="W21" s="23"/>
      <c r="X21" s="16"/>
      <c r="Y21" s="24"/>
      <c r="Z21" s="30"/>
      <c r="AA21" s="29"/>
      <c r="AB21" s="25"/>
      <c r="AC21" s="18"/>
      <c r="AD21" s="23"/>
      <c r="AE21" s="16"/>
      <c r="AF21" s="24"/>
      <c r="AG21" s="30"/>
      <c r="AH21" s="29"/>
      <c r="AI21" s="25"/>
      <c r="AJ21" s="18"/>
      <c r="AK21" s="23"/>
      <c r="AL21" s="16"/>
      <c r="AM21" s="24"/>
      <c r="AN21" s="133"/>
      <c r="AO21" s="130"/>
      <c r="AP21" s="131"/>
      <c r="AQ21" s="126"/>
      <c r="AR21" s="78"/>
      <c r="AS21" s="78"/>
      <c r="AT21" s="79"/>
      <c r="AU21" s="80"/>
      <c r="AV21" s="78"/>
      <c r="AW21" s="81"/>
      <c r="AX21" s="82"/>
      <c r="AY21" s="83"/>
      <c r="AZ21" s="82"/>
    </row>
    <row r="22" spans="1:52" ht="15" thickBot="1" x14ac:dyDescent="0.35">
      <c r="A22" s="31" t="s">
        <v>23</v>
      </c>
      <c r="B22" s="32">
        <f>SUM(B4:B21)</f>
        <v>12098000</v>
      </c>
      <c r="C22" s="32">
        <f>SUM(C4:C21)</f>
        <v>9551724.5199999996</v>
      </c>
      <c r="D22" s="32">
        <f>SUM(D4:D21)</f>
        <v>-2546275.4799999995</v>
      </c>
      <c r="E22" s="33">
        <f>+C22/B22</f>
        <v>0.78952922135890224</v>
      </c>
      <c r="F22" s="32">
        <f>SUM(F4:F21)</f>
        <v>5942464.2799999984</v>
      </c>
      <c r="G22" s="32">
        <f>SUM(G4:G21)</f>
        <v>-6155535.7199999997</v>
      </c>
      <c r="H22" s="33">
        <f>+F22/B22</f>
        <v>0.49119393949413115</v>
      </c>
      <c r="I22" s="32">
        <f>SUM(I4:I21)</f>
        <v>12348000</v>
      </c>
      <c r="J22" s="32">
        <f>SUM(J4:J21)</f>
        <v>22744224.27</v>
      </c>
      <c r="K22" s="32">
        <f>SUM(K4:K21)</f>
        <v>10396224.270000001</v>
      </c>
      <c r="L22" s="91">
        <f>+J22/I22</f>
        <v>1.8419358819241982</v>
      </c>
      <c r="M22" s="32">
        <f>SUM(M4:M21)</f>
        <v>10257478.640000001</v>
      </c>
      <c r="N22" s="32">
        <f>SUM(N4:N21)</f>
        <v>-2090521.3599999996</v>
      </c>
      <c r="O22" s="90">
        <f>+M22/I22</f>
        <v>0.83069959831551676</v>
      </c>
      <c r="P22" s="32">
        <f>SUM(P4:P21)</f>
        <v>12098000</v>
      </c>
      <c r="Q22" s="32">
        <f>SUM(Q4:Q21)</f>
        <v>11511387.870000001</v>
      </c>
      <c r="R22" s="32">
        <f>SUM(R4:R21)</f>
        <v>-586612.12999999931</v>
      </c>
      <c r="S22" s="33">
        <f>+Q22/P22</f>
        <v>0.95151164407340061</v>
      </c>
      <c r="T22" s="32">
        <f>SUM(T4:T21)</f>
        <v>6915087.1899999995</v>
      </c>
      <c r="U22" s="32">
        <f>SUM(U4:U21)</f>
        <v>-5182912.8100000005</v>
      </c>
      <c r="V22" s="90">
        <f>+T22/P22</f>
        <v>0.57158928665895181</v>
      </c>
      <c r="W22" s="32">
        <f>SUM(W4:W21)</f>
        <v>12298000</v>
      </c>
      <c r="X22" s="32">
        <f>SUM(X4:X21)</f>
        <v>8576678.75</v>
      </c>
      <c r="Y22" s="32">
        <f>SUM(Y4:Y21)</f>
        <v>-3721321.2500000005</v>
      </c>
      <c r="Z22" s="33">
        <f>+X22/W22</f>
        <v>0.69740435436656367</v>
      </c>
      <c r="AA22" s="32">
        <f>SUM(AA4:AA21)</f>
        <v>10143590.560000001</v>
      </c>
      <c r="AB22" s="32">
        <f>SUM(AB4:AB21)</f>
        <v>-2154409.4400000009</v>
      </c>
      <c r="AC22" s="90">
        <f>+AA22/W22</f>
        <v>0.82481627581720607</v>
      </c>
      <c r="AD22" s="32">
        <f>SUM(AD4:AD21)</f>
        <v>12498000</v>
      </c>
      <c r="AE22" s="32">
        <f>SUM(AE4:AE21)</f>
        <v>6257997.7400000002</v>
      </c>
      <c r="AF22" s="32">
        <f>SUM(AF4:AF21)</f>
        <v>-6240002.2599999988</v>
      </c>
      <c r="AG22" s="33">
        <f>+AE22/AD22</f>
        <v>0.50071993438950235</v>
      </c>
      <c r="AH22" s="32">
        <f>SUM(AH4:AH21)</f>
        <v>10388656.800000001</v>
      </c>
      <c r="AI22" s="32">
        <f>SUM(AI4:AI21)</f>
        <v>-2109343.2000000007</v>
      </c>
      <c r="AJ22" s="90">
        <f>+AH22/AD22</f>
        <v>0.83122554008641392</v>
      </c>
      <c r="AK22" s="32">
        <f>SUM(AK4:AK21)</f>
        <v>12798000</v>
      </c>
      <c r="AL22" s="32">
        <f>SUM(AL4:AL21)</f>
        <v>12599131.73</v>
      </c>
      <c r="AM22" s="32">
        <f>SUM(AM4:AM21)</f>
        <v>-198868.26999999894</v>
      </c>
      <c r="AN22" s="134">
        <f>+AL22/AK22</f>
        <v>0.98446098843569307</v>
      </c>
      <c r="AO22" s="135">
        <f>SUM(AO4:AO21)</f>
        <v>8018804.4100000001</v>
      </c>
      <c r="AP22" s="135">
        <f>SUM(AP4:AP21)</f>
        <v>-4779195.59</v>
      </c>
      <c r="AQ22" s="136">
        <f>+AO22/AK22</f>
        <v>0.62656699562431628</v>
      </c>
      <c r="AR22" s="89">
        <f>SUM(AR4:AR20)</f>
        <v>74138000</v>
      </c>
      <c r="AS22" s="32">
        <f>SUM(AS4:AS20)</f>
        <v>71241144.879999995</v>
      </c>
      <c r="AT22" s="84">
        <f>+AS22-AR22</f>
        <v>-2896855.1200000048</v>
      </c>
      <c r="AU22" s="85">
        <f>+AS22/AR22</f>
        <v>0.96092617658960311</v>
      </c>
      <c r="AV22" s="86">
        <f>SUM(AV4:AV20)</f>
        <v>51666081.880000003</v>
      </c>
      <c r="AW22" s="87">
        <f>+AV22-AR22</f>
        <v>-22471918.119999997</v>
      </c>
      <c r="AX22" s="85">
        <f>+AV22/AR22</f>
        <v>0.69689068871563842</v>
      </c>
      <c r="AY22" s="86">
        <f>+AS22/6</f>
        <v>11873524.146666666</v>
      </c>
      <c r="AZ22" s="88">
        <f>+AV22/6</f>
        <v>8611013.6466666665</v>
      </c>
    </row>
    <row r="23" spans="1:52" x14ac:dyDescent="0.3">
      <c r="A23" s="22"/>
      <c r="B23" s="23"/>
      <c r="C23" s="16"/>
      <c r="D23" s="34"/>
      <c r="E23" s="18"/>
      <c r="F23" s="29"/>
      <c r="G23" s="35"/>
      <c r="H23" s="18"/>
      <c r="I23" s="23"/>
      <c r="J23" s="16"/>
      <c r="K23" s="34"/>
      <c r="L23" s="18"/>
      <c r="M23" s="29"/>
      <c r="N23" s="35"/>
      <c r="O23" s="18"/>
      <c r="P23" s="23"/>
      <c r="Q23" s="16"/>
      <c r="R23" s="34"/>
      <c r="S23" s="18"/>
      <c r="T23" s="29"/>
      <c r="U23" s="35"/>
      <c r="V23" s="18"/>
      <c r="W23" s="23"/>
      <c r="X23" s="16"/>
      <c r="Y23" s="34"/>
      <c r="Z23" s="18"/>
      <c r="AA23" s="29"/>
      <c r="AB23" s="35"/>
      <c r="AC23" s="18"/>
      <c r="AD23" s="23"/>
      <c r="AE23" s="16"/>
      <c r="AF23" s="34"/>
      <c r="AG23" s="18"/>
      <c r="AH23" s="29"/>
      <c r="AI23" s="35"/>
      <c r="AJ23" s="18"/>
      <c r="AK23" s="23"/>
      <c r="AL23" s="16"/>
      <c r="AM23" s="34"/>
      <c r="AN23" s="126"/>
      <c r="AO23" s="130"/>
      <c r="AP23" s="137"/>
      <c r="AQ23" s="126"/>
      <c r="AR23" s="23"/>
      <c r="AS23" s="16"/>
      <c r="AT23" s="34"/>
      <c r="AU23" s="18"/>
      <c r="AV23" s="29"/>
      <c r="AW23" s="35"/>
      <c r="AX23" s="18"/>
      <c r="AY23" s="16"/>
      <c r="AZ23" s="26"/>
    </row>
    <row r="24" spans="1:52" x14ac:dyDescent="0.3">
      <c r="A24" s="22" t="s">
        <v>25</v>
      </c>
      <c r="B24" s="26"/>
      <c r="C24" s="16">
        <v>5189998</v>
      </c>
      <c r="E24" s="18"/>
      <c r="F24" s="29">
        <v>6473867</v>
      </c>
      <c r="H24" s="37"/>
      <c r="I24" s="26"/>
      <c r="J24" s="16">
        <v>6480867</v>
      </c>
      <c r="L24" s="18"/>
      <c r="M24" s="29">
        <v>4656309</v>
      </c>
      <c r="O24" s="37"/>
      <c r="P24" s="26"/>
      <c r="Q24" s="16">
        <v>5002093</v>
      </c>
      <c r="S24" s="18"/>
      <c r="T24" s="29">
        <v>4948390</v>
      </c>
      <c r="V24" s="37"/>
      <c r="W24" s="26"/>
      <c r="X24" s="16">
        <v>5759007</v>
      </c>
      <c r="Z24" s="18"/>
      <c r="AA24" s="29">
        <v>5350403</v>
      </c>
      <c r="AC24" s="37"/>
      <c r="AD24" s="26"/>
      <c r="AE24" s="16">
        <v>35091548</v>
      </c>
      <c r="AG24" s="18"/>
      <c r="AH24" s="29">
        <v>46426011</v>
      </c>
      <c r="AJ24" s="37"/>
      <c r="AK24" s="26"/>
      <c r="AL24" s="16">
        <v>7015929</v>
      </c>
      <c r="AN24" s="126"/>
      <c r="AO24" s="130">
        <v>7038899</v>
      </c>
      <c r="AQ24" s="139"/>
      <c r="AR24" s="26"/>
      <c r="AS24" s="16">
        <f>+C24+J24+Q24+X24+AE24+AL24</f>
        <v>64539442</v>
      </c>
      <c r="AU24" s="18"/>
      <c r="AV24" s="16">
        <f>+F24+M24+T24+AA24+AH24+AO24</f>
        <v>74893879</v>
      </c>
      <c r="AW24" s="36"/>
      <c r="AX24" s="37"/>
      <c r="AY24" s="16">
        <f>+AS24/6</f>
        <v>10756573.666666666</v>
      </c>
      <c r="AZ24" s="26">
        <f>+AV24/6</f>
        <v>12482313.166666666</v>
      </c>
    </row>
    <row r="25" spans="1:52" x14ac:dyDescent="0.3">
      <c r="A25" s="38"/>
      <c r="B25" s="26"/>
      <c r="C25" s="16"/>
      <c r="E25" s="18"/>
      <c r="F25" s="29"/>
      <c r="H25" s="37"/>
      <c r="I25" s="26"/>
      <c r="J25" s="16"/>
      <c r="L25" s="18"/>
      <c r="M25" s="29"/>
      <c r="O25" s="37"/>
      <c r="P25" s="26"/>
      <c r="Q25" s="16"/>
      <c r="S25" s="18"/>
      <c r="T25" s="29"/>
      <c r="V25" s="37"/>
      <c r="W25" s="26"/>
      <c r="X25" s="16"/>
      <c r="Z25" s="18"/>
      <c r="AA25" s="29"/>
      <c r="AC25" s="37"/>
      <c r="AD25" s="26"/>
      <c r="AE25" s="16"/>
      <c r="AG25" s="18"/>
      <c r="AH25" s="29"/>
      <c r="AJ25" s="37"/>
      <c r="AK25" s="26"/>
      <c r="AL25" s="16"/>
      <c r="AN25" s="126"/>
      <c r="AO25" s="130"/>
      <c r="AQ25" s="139"/>
      <c r="AR25" s="26"/>
      <c r="AS25" s="16"/>
      <c r="AU25" s="18"/>
      <c r="AV25" s="29"/>
      <c r="AW25" s="36"/>
      <c r="AX25" s="37"/>
      <c r="AY25" s="16"/>
      <c r="AZ25" s="26"/>
    </row>
    <row r="26" spans="1:52" ht="15" thickBot="1" x14ac:dyDescent="0.35">
      <c r="A26" s="39" t="s">
        <v>24</v>
      </c>
      <c r="B26" s="40"/>
      <c r="C26" s="41">
        <f>+C22-C24</f>
        <v>4361726.5199999996</v>
      </c>
      <c r="D26" s="42"/>
      <c r="E26" s="43">
        <f>+(C22/C24)-1</f>
        <v>0.8404100579614866</v>
      </c>
      <c r="F26" s="41">
        <f>+F22-F24</f>
        <v>-531402.7200000016</v>
      </c>
      <c r="G26" s="42"/>
      <c r="H26" s="43">
        <f>+(F22/F24)-1</f>
        <v>-8.2084281311309293E-2</v>
      </c>
      <c r="I26" s="40"/>
      <c r="J26" s="41">
        <f>+J22-J24</f>
        <v>16263357.27</v>
      </c>
      <c r="K26" s="42"/>
      <c r="L26" s="43">
        <f>+(J22/J24)-1</f>
        <v>2.5094416024892965</v>
      </c>
      <c r="M26" s="41">
        <f>+M22-M24</f>
        <v>5601169.6400000006</v>
      </c>
      <c r="N26" s="42"/>
      <c r="O26" s="43">
        <f>+(M22/M24)-1</f>
        <v>1.2029205192352999</v>
      </c>
      <c r="P26" s="40"/>
      <c r="Q26" s="41">
        <f>+Q22-Q24</f>
        <v>6509294.870000001</v>
      </c>
      <c r="R26" s="42"/>
      <c r="S26" s="43">
        <f>+(Q22/Q24)-1</f>
        <v>1.3013142438575214</v>
      </c>
      <c r="T26" s="41">
        <f>+T22-T24</f>
        <v>1966697.1899999995</v>
      </c>
      <c r="U26" s="42"/>
      <c r="V26" s="43">
        <f>+(T22/T24)-1</f>
        <v>0.39744183259605648</v>
      </c>
      <c r="W26" s="40"/>
      <c r="X26" s="41">
        <f>+X22-X24</f>
        <v>2817671.75</v>
      </c>
      <c r="Y26" s="42"/>
      <c r="Z26" s="43">
        <f>+(X22/X24)-1</f>
        <v>0.48926347024756178</v>
      </c>
      <c r="AA26" s="41">
        <f>+AA22-AA24</f>
        <v>4793187.5600000005</v>
      </c>
      <c r="AB26" s="42"/>
      <c r="AC26" s="104">
        <f>+(AA22/AA24)-1</f>
        <v>0.89585542621742698</v>
      </c>
      <c r="AD26" s="40"/>
      <c r="AE26" s="41">
        <f>+AE22-AE24</f>
        <v>-28833550.259999998</v>
      </c>
      <c r="AF26" s="42"/>
      <c r="AG26" s="43">
        <f>+(AE22/AE24)-1</f>
        <v>-0.8216665238022558</v>
      </c>
      <c r="AH26" s="41">
        <f>+AH22-AH24</f>
        <v>-36037354.200000003</v>
      </c>
      <c r="AI26" s="42"/>
      <c r="AJ26" s="43">
        <f>+(AH22/AH24)-1</f>
        <v>-0.77623197478672035</v>
      </c>
      <c r="AK26" s="40"/>
      <c r="AL26" s="41">
        <f>+AL22-AL24</f>
        <v>5583202.7300000004</v>
      </c>
      <c r="AM26" s="42"/>
      <c r="AN26" s="140">
        <f>+(AL22/AL24)-1</f>
        <v>0.79578951411851517</v>
      </c>
      <c r="AO26" s="141">
        <f>+AO22-AO24</f>
        <v>979905.41000000015</v>
      </c>
      <c r="AP26" s="142"/>
      <c r="AQ26" s="140">
        <f>+(AO22/AO24)-1</f>
        <v>0.13921288116223862</v>
      </c>
      <c r="AR26" s="40"/>
      <c r="AS26" s="41">
        <f>+AS22-AS24</f>
        <v>6701702.8799999952</v>
      </c>
      <c r="AT26" s="42"/>
      <c r="AU26" s="43">
        <f>+(AS22/AS24)-1</f>
        <v>0.10383887235963396</v>
      </c>
      <c r="AV26" s="41">
        <f>+AV22-AV24</f>
        <v>-23227797.119999997</v>
      </c>
      <c r="AW26" s="42"/>
      <c r="AX26" s="43">
        <f>+(AV22/AV24)-1</f>
        <v>-0.31014279711697135</v>
      </c>
      <c r="AY26" s="75"/>
      <c r="AZ26" s="76"/>
    </row>
    <row r="28" spans="1:52" x14ac:dyDescent="0.3">
      <c r="D28" s="44"/>
      <c r="F28" s="46">
        <v>5942464.2800000003</v>
      </c>
      <c r="G28" s="46"/>
      <c r="H28" s="45"/>
      <c r="K28" s="44"/>
      <c r="M28" s="46">
        <v>10257478.65</v>
      </c>
      <c r="N28" s="46"/>
      <c r="O28" s="45"/>
      <c r="R28" s="44"/>
      <c r="T28" s="46">
        <v>6915087.2000000002</v>
      </c>
      <c r="U28" s="46"/>
      <c r="V28" s="45"/>
      <c r="Y28" s="44"/>
      <c r="AA28" s="46">
        <v>10143590.560000001</v>
      </c>
      <c r="AB28" s="46"/>
      <c r="AC28" s="45"/>
      <c r="AF28" s="44"/>
      <c r="AH28" s="46">
        <v>10388656.810000001</v>
      </c>
      <c r="AI28" s="46"/>
      <c r="AJ28" s="45"/>
      <c r="AM28" s="44"/>
      <c r="AO28" s="144">
        <v>8018804.4100000001</v>
      </c>
      <c r="AP28" s="144"/>
      <c r="AQ28" s="143"/>
      <c r="AV28" s="46">
        <v>51666081.899999999</v>
      </c>
    </row>
    <row r="29" spans="1:52" x14ac:dyDescent="0.3">
      <c r="F29" s="46">
        <f>+F22-F28</f>
        <v>0</v>
      </c>
      <c r="M29" s="46">
        <f>+M22-M28</f>
        <v>-9.9999997764825821E-3</v>
      </c>
      <c r="T29" s="46">
        <f>+T22-T28</f>
        <v>-1.0000000707805157E-2</v>
      </c>
      <c r="AA29" s="46">
        <f>+AA22-AA28</f>
        <v>0</v>
      </c>
      <c r="AH29" s="46">
        <f>+AH22-AH28</f>
        <v>-9.9999997764825821E-3</v>
      </c>
      <c r="AO29" s="144">
        <f>+AO22-AO28</f>
        <v>0</v>
      </c>
      <c r="AV29" s="46">
        <f>+AV22-AV28</f>
        <v>-1.9999995827674866E-2</v>
      </c>
    </row>
    <row r="30" spans="1:52" x14ac:dyDescent="0.3">
      <c r="K30" s="44"/>
      <c r="R30" s="44"/>
      <c r="Y30" s="44"/>
      <c r="AF30" s="44"/>
      <c r="AM30" s="44"/>
    </row>
    <row r="31" spans="1:52" x14ac:dyDescent="0.3">
      <c r="A31" s="22"/>
      <c r="K31" s="44"/>
      <c r="R31" s="44"/>
      <c r="Y31" s="44"/>
      <c r="AE31" s="46"/>
      <c r="AF31" s="44"/>
      <c r="AM31" s="44"/>
    </row>
    <row r="32" spans="1:52" x14ac:dyDescent="0.3">
      <c r="A32" s="27"/>
      <c r="K32" s="44"/>
      <c r="R32" s="44"/>
      <c r="Y32" s="44"/>
      <c r="AF32" s="44"/>
      <c r="AM32" s="44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  <row r="40" spans="1:1" x14ac:dyDescent="0.3">
      <c r="A40" s="22"/>
    </row>
  </sheetData>
  <pageMargins left="0.7" right="0.7" top="0.75" bottom="0.75" header="0.3" footer="0.3"/>
  <ignoredErrors>
    <ignoredError sqref="AG22:AJ22 H22 AN22 E2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4837-EBB6-41A2-B0E2-5819633A3808}">
  <dimension ref="A1:AS39"/>
  <sheetViews>
    <sheetView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E19" sqref="AE19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0" width="11.44140625" style="44" bestFit="1" customWidth="1"/>
    <col min="31" max="31" width="12.88671875" style="44" bestFit="1" customWidth="1"/>
    <col min="32" max="32" width="11.77734375" customWidth="1"/>
    <col min="33" max="33" width="7.77734375" style="45" bestFit="1" customWidth="1"/>
    <col min="34" max="34" width="11.44140625" style="46" bestFit="1" customWidth="1"/>
    <col min="35" max="35" width="11.44140625" style="36" bestFit="1" customWidth="1"/>
    <col min="36" max="36" width="7.77734375" style="36" bestFit="1" customWidth="1"/>
    <col min="37" max="39" width="11.44140625" bestFit="1" customWidth="1"/>
    <col min="40" max="40" width="7.77734375" customWidth="1"/>
    <col min="41" max="42" width="11.44140625" bestFit="1" customWidth="1"/>
    <col min="43" max="43" width="7.109375" bestFit="1" customWidth="1"/>
    <col min="44" max="45" width="11.44140625" bestFit="1" customWidth="1"/>
  </cols>
  <sheetData>
    <row r="1" spans="1:45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110"/>
      <c r="AE1" s="111"/>
      <c r="AF1" s="112"/>
      <c r="AG1" s="113" t="s">
        <v>52</v>
      </c>
      <c r="AH1" s="111"/>
      <c r="AI1" s="112"/>
      <c r="AJ1" s="114"/>
      <c r="AK1" s="66"/>
      <c r="AL1" s="67"/>
      <c r="AM1" s="68"/>
      <c r="AN1" s="69" t="s">
        <v>46</v>
      </c>
      <c r="AO1" s="67"/>
      <c r="AP1" s="68"/>
      <c r="AQ1" s="70"/>
      <c r="AR1" s="71"/>
      <c r="AS1" s="72"/>
    </row>
    <row r="2" spans="1:45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8" t="s">
        <v>2</v>
      </c>
      <c r="AL2" s="9" t="s">
        <v>3</v>
      </c>
      <c r="AM2" s="10" t="s">
        <v>4</v>
      </c>
      <c r="AN2" s="11" t="s">
        <v>5</v>
      </c>
      <c r="AO2" s="12" t="s">
        <v>6</v>
      </c>
      <c r="AP2" s="10" t="s">
        <v>7</v>
      </c>
      <c r="AQ2" s="13" t="s">
        <v>5</v>
      </c>
      <c r="AR2" s="73" t="s">
        <v>47</v>
      </c>
      <c r="AS2" s="74" t="s">
        <v>48</v>
      </c>
    </row>
    <row r="3" spans="1:45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6"/>
      <c r="AF3" s="17"/>
      <c r="AG3" s="18"/>
      <c r="AH3" s="19"/>
      <c r="AI3" s="20"/>
      <c r="AJ3" s="21"/>
      <c r="AK3" s="15"/>
      <c r="AL3" s="15"/>
      <c r="AM3" s="77"/>
      <c r="AN3" s="18"/>
      <c r="AO3" s="19"/>
      <c r="AP3" s="20"/>
      <c r="AQ3" s="21"/>
      <c r="AR3" s="16"/>
      <c r="AS3" s="26"/>
    </row>
    <row r="4" spans="1:45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v>1338750</v>
      </c>
      <c r="AE4" s="16">
        <v>1048660.54</v>
      </c>
      <c r="AF4" s="24">
        <f>+AE4-AD4</f>
        <v>-290089.45999999996</v>
      </c>
      <c r="AG4" s="18">
        <f>+AE4/AD4</f>
        <v>0.78331319514472464</v>
      </c>
      <c r="AH4" s="29">
        <v>1101995.8</v>
      </c>
      <c r="AI4" s="25">
        <f>+AH4-AD4</f>
        <v>-236754.19999999995</v>
      </c>
      <c r="AJ4" s="18">
        <f>+AH4/AD4</f>
        <v>0.82315279178338008</v>
      </c>
      <c r="AK4" s="23">
        <f>+B4+I4+P4+W4+AD4</f>
        <v>6693750</v>
      </c>
      <c r="AL4" s="23">
        <f>+C4+J4+Q4+X4+AE4</f>
        <v>5187891.32</v>
      </c>
      <c r="AM4" s="24">
        <f>+AL4-AK4</f>
        <v>-1505858.6799999997</v>
      </c>
      <c r="AN4" s="18">
        <f>+AL4/AK4</f>
        <v>0.77503511783380019</v>
      </c>
      <c r="AO4" s="16">
        <f>+F4+M4+T4+AA4+AH4</f>
        <v>4217406.91</v>
      </c>
      <c r="AP4" s="25">
        <f>+AO4-AK4</f>
        <v>-2476343.09</v>
      </c>
      <c r="AQ4" s="18">
        <f>+AO4/AK4</f>
        <v>0.63005145247432304</v>
      </c>
      <c r="AR4" s="16">
        <f>+AL4/5</f>
        <v>1037578.2640000001</v>
      </c>
      <c r="AS4" s="26">
        <f>+AO4/5</f>
        <v>843481.38199999998</v>
      </c>
    </row>
    <row r="5" spans="1:45" x14ac:dyDescent="0.3">
      <c r="A5" s="22" t="s">
        <v>9</v>
      </c>
      <c r="B5" s="23"/>
      <c r="C5" s="16"/>
      <c r="D5" s="24">
        <f t="shared" ref="D5:D18" si="0">+C5-B5</f>
        <v>0</v>
      </c>
      <c r="E5" s="18"/>
      <c r="F5" s="28"/>
      <c r="G5" s="25">
        <f t="shared" ref="G5:G18" si="1">+F5-B5</f>
        <v>0</v>
      </c>
      <c r="H5" s="18"/>
      <c r="I5" s="23"/>
      <c r="J5" s="16"/>
      <c r="K5" s="24">
        <f t="shared" ref="K5:K18" si="2">+J5-I5</f>
        <v>0</v>
      </c>
      <c r="L5" s="18"/>
      <c r="M5" s="28"/>
      <c r="N5" s="25">
        <f t="shared" ref="N5:N12" si="3">+M5-I5</f>
        <v>0</v>
      </c>
      <c r="O5" s="18"/>
      <c r="P5" s="23"/>
      <c r="Q5" s="16">
        <v>333.62</v>
      </c>
      <c r="R5" s="24">
        <f t="shared" ref="R5:R18" si="4">+Q5-P5</f>
        <v>333.62</v>
      </c>
      <c r="S5" s="18"/>
      <c r="T5" s="28"/>
      <c r="U5" s="25">
        <f t="shared" ref="U5:U12" si="5">+T5-P5</f>
        <v>0</v>
      </c>
      <c r="V5" s="18"/>
      <c r="W5" s="23"/>
      <c r="X5" s="16"/>
      <c r="Y5" s="24">
        <f t="shared" ref="Y5:Y18" si="6">+X5-W5</f>
        <v>0</v>
      </c>
      <c r="Z5" s="18"/>
      <c r="AA5" s="28"/>
      <c r="AB5" s="25">
        <f t="shared" ref="AB5:AB12" si="7">+AA5-W5</f>
        <v>0</v>
      </c>
      <c r="AC5" s="18"/>
      <c r="AD5" s="23"/>
      <c r="AE5" s="16"/>
      <c r="AF5" s="24">
        <f t="shared" ref="AF5:AF18" si="8">+AE5-AD5</f>
        <v>0</v>
      </c>
      <c r="AG5" s="18"/>
      <c r="AH5" s="28"/>
      <c r="AI5" s="25">
        <f t="shared" ref="AI5:AI12" si="9">+AH5-AD5</f>
        <v>0</v>
      </c>
      <c r="AJ5" s="18"/>
      <c r="AK5" s="23">
        <f t="shared" ref="AK5:AK19" si="10">+B5+I5+P5+W5+AD5</f>
        <v>0</v>
      </c>
      <c r="AL5" s="23">
        <f t="shared" ref="AL5:AL19" si="11">+C5+J5+Q5+X5+AE5</f>
        <v>333.62</v>
      </c>
      <c r="AM5" s="24">
        <f t="shared" ref="AM5:AM19" si="12">+AL5-AK5</f>
        <v>333.62</v>
      </c>
      <c r="AN5" s="18"/>
      <c r="AO5" s="16">
        <f t="shared" ref="AO5:AO19" si="13">+F5+M5+T5+AA5+AH5</f>
        <v>0</v>
      </c>
      <c r="AP5" s="25">
        <f t="shared" ref="AP5:AP19" si="14">+AO5-AK5</f>
        <v>0</v>
      </c>
      <c r="AQ5" s="18"/>
      <c r="AR5" s="16">
        <f t="shared" ref="AR5:AR19" si="15">+AL5/5</f>
        <v>66.724000000000004</v>
      </c>
      <c r="AS5" s="26">
        <f t="shared" ref="AS5:AS19" si="16">+AO5/5</f>
        <v>0</v>
      </c>
    </row>
    <row r="6" spans="1:45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2" si="17">+C6/B6</f>
        <v>1.5115234571428571</v>
      </c>
      <c r="F6" s="28">
        <v>733269.34</v>
      </c>
      <c r="G6" s="25">
        <f t="shared" si="1"/>
        <v>383269.33999999997</v>
      </c>
      <c r="H6" s="47">
        <f t="shared" ref="H6:H18" si="18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2" si="19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2" si="20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2" si="21">+Q6/P6</f>
        <v>0.17456677777777779</v>
      </c>
      <c r="T6" s="28">
        <v>92549.31</v>
      </c>
      <c r="U6" s="25">
        <f t="shared" si="5"/>
        <v>-357450.69</v>
      </c>
      <c r="V6" s="18">
        <f t="shared" ref="V6:V12" si="22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2" si="23">+X6/W6</f>
        <v>0.44524607999999999</v>
      </c>
      <c r="AA6" s="28">
        <v>249803.76</v>
      </c>
      <c r="AB6" s="25">
        <f t="shared" si="7"/>
        <v>-250196.24</v>
      </c>
      <c r="AC6" s="18">
        <f t="shared" ref="AC6:AC12" si="24">+AA6/W6</f>
        <v>0.49960752000000003</v>
      </c>
      <c r="AD6" s="26">
        <v>550000</v>
      </c>
      <c r="AE6" s="16">
        <v>88433.69</v>
      </c>
      <c r="AF6" s="24">
        <f t="shared" si="8"/>
        <v>-461566.31</v>
      </c>
      <c r="AG6" s="18">
        <f t="shared" ref="AG6:AG12" si="25">+AE6/AD6</f>
        <v>0.16078852727272727</v>
      </c>
      <c r="AH6" s="28">
        <v>86104.08</v>
      </c>
      <c r="AI6" s="25">
        <f t="shared" si="9"/>
        <v>-463895.92</v>
      </c>
      <c r="AJ6" s="18">
        <f t="shared" ref="AJ6:AJ12" si="26">+AH6/AD6</f>
        <v>0.15655287272727272</v>
      </c>
      <c r="AK6" s="23">
        <f t="shared" si="10"/>
        <v>2250000</v>
      </c>
      <c r="AL6" s="23">
        <f t="shared" si="11"/>
        <v>1445469.3</v>
      </c>
      <c r="AM6" s="24">
        <f t="shared" si="12"/>
        <v>-804530.7</v>
      </c>
      <c r="AN6" s="18">
        <f t="shared" ref="AN6:AN18" si="27">+AL6/AK6</f>
        <v>0.64243079999999997</v>
      </c>
      <c r="AO6" s="16">
        <f t="shared" si="13"/>
        <v>1451609.77</v>
      </c>
      <c r="AP6" s="25">
        <f t="shared" si="14"/>
        <v>-798390.23</v>
      </c>
      <c r="AQ6" s="18">
        <f t="shared" ref="AQ6:AQ18" si="28">+AO6/AK6</f>
        <v>0.64515989777777782</v>
      </c>
      <c r="AR6" s="16">
        <f t="shared" si="15"/>
        <v>289093.86</v>
      </c>
      <c r="AS6" s="26">
        <f t="shared" si="16"/>
        <v>290321.95400000003</v>
      </c>
    </row>
    <row r="7" spans="1:45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17"/>
        <v>1.2200101967493584</v>
      </c>
      <c r="F7" s="28">
        <v>1033129.09</v>
      </c>
      <c r="G7" s="25">
        <f t="shared" si="1"/>
        <v>156379.08999999997</v>
      </c>
      <c r="H7" s="105">
        <f t="shared" si="18"/>
        <v>1.178362235528942</v>
      </c>
      <c r="I7" s="106">
        <v>876750</v>
      </c>
      <c r="J7" s="107">
        <v>1093963.29</v>
      </c>
      <c r="K7" s="24">
        <f t="shared" si="2"/>
        <v>217213.29000000004</v>
      </c>
      <c r="L7" s="105">
        <f t="shared" si="19"/>
        <v>1.2477482634730539</v>
      </c>
      <c r="M7" s="28">
        <v>1174515.3999999999</v>
      </c>
      <c r="N7" s="25">
        <f t="shared" si="3"/>
        <v>297765.39999999991</v>
      </c>
      <c r="O7" s="47">
        <f t="shared" si="20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21"/>
        <v>0.93849876247504993</v>
      </c>
      <c r="T7" s="28">
        <v>927646.45</v>
      </c>
      <c r="U7" s="25">
        <f t="shared" si="5"/>
        <v>50896.449999999953</v>
      </c>
      <c r="V7" s="47">
        <f t="shared" si="22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23"/>
        <v>0.84989789563729679</v>
      </c>
      <c r="AA7" s="28">
        <v>547748.51</v>
      </c>
      <c r="AB7" s="25">
        <f t="shared" si="7"/>
        <v>-329001.49</v>
      </c>
      <c r="AC7" s="18">
        <f t="shared" si="24"/>
        <v>0.62474879954376961</v>
      </c>
      <c r="AD7" s="26">
        <v>876750</v>
      </c>
      <c r="AE7" s="16">
        <v>826352.73</v>
      </c>
      <c r="AF7" s="24">
        <f t="shared" si="8"/>
        <v>-50397.270000000019</v>
      </c>
      <c r="AG7" s="18">
        <f t="shared" si="25"/>
        <v>0.94251808383233526</v>
      </c>
      <c r="AH7" s="28">
        <v>924710.89</v>
      </c>
      <c r="AI7" s="25">
        <f t="shared" si="9"/>
        <v>47960.890000000014</v>
      </c>
      <c r="AJ7" s="47">
        <f t="shared" si="26"/>
        <v>1.0547030396350157</v>
      </c>
      <c r="AK7" s="23">
        <f t="shared" si="10"/>
        <v>4383750</v>
      </c>
      <c r="AL7" s="23">
        <f t="shared" si="11"/>
        <v>4557936.7300000004</v>
      </c>
      <c r="AM7" s="24">
        <f t="shared" si="12"/>
        <v>174186.73000000045</v>
      </c>
      <c r="AN7" s="47">
        <f t="shared" si="27"/>
        <v>1.0397346404334189</v>
      </c>
      <c r="AO7" s="29">
        <f t="shared" si="13"/>
        <v>4607750.3399999989</v>
      </c>
      <c r="AP7" s="25">
        <f t="shared" si="14"/>
        <v>224000.33999999892</v>
      </c>
      <c r="AQ7" s="18">
        <f t="shared" si="28"/>
        <v>1.0510978819503847</v>
      </c>
      <c r="AR7" s="16">
        <f t="shared" si="15"/>
        <v>911587.34600000014</v>
      </c>
      <c r="AS7" s="26">
        <f t="shared" si="16"/>
        <v>921550.06799999974</v>
      </c>
    </row>
    <row r="8" spans="1:45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17"/>
        <v>0.35595089999999996</v>
      </c>
      <c r="F8" s="28">
        <v>19135.27</v>
      </c>
      <c r="G8" s="25">
        <f t="shared" si="1"/>
        <v>-80864.73</v>
      </c>
      <c r="H8" s="108">
        <f t="shared" si="18"/>
        <v>0.19135270000000001</v>
      </c>
      <c r="I8" s="106">
        <v>150000</v>
      </c>
      <c r="J8" s="107">
        <v>173409.83</v>
      </c>
      <c r="K8" s="24">
        <f t="shared" si="2"/>
        <v>23409.829999999987</v>
      </c>
      <c r="L8" s="105">
        <f t="shared" si="19"/>
        <v>1.1560655333333332</v>
      </c>
      <c r="M8" s="28">
        <v>302930.28999999998</v>
      </c>
      <c r="N8" s="25">
        <f t="shared" si="3"/>
        <v>152930.28999999998</v>
      </c>
      <c r="O8" s="47">
        <f t="shared" si="20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21"/>
        <v>1.2518899999999999</v>
      </c>
      <c r="T8" s="28">
        <v>183223.25</v>
      </c>
      <c r="U8" s="25">
        <f t="shared" si="5"/>
        <v>-16776.75</v>
      </c>
      <c r="V8" s="18">
        <f t="shared" si="22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23"/>
        <v>1.2306406000000001</v>
      </c>
      <c r="AA8" s="28">
        <v>413578.44</v>
      </c>
      <c r="AB8" s="25">
        <f t="shared" si="7"/>
        <v>163578.44</v>
      </c>
      <c r="AC8" s="47">
        <f t="shared" si="24"/>
        <v>1.65431376</v>
      </c>
      <c r="AD8" s="26">
        <v>300000</v>
      </c>
      <c r="AE8" s="16">
        <v>918721.49</v>
      </c>
      <c r="AF8" s="24">
        <f t="shared" si="8"/>
        <v>618721.49</v>
      </c>
      <c r="AG8" s="47">
        <f t="shared" si="25"/>
        <v>3.0624049666666666</v>
      </c>
      <c r="AH8" s="28">
        <v>1378236.43</v>
      </c>
      <c r="AI8" s="25">
        <f t="shared" si="9"/>
        <v>1078236.43</v>
      </c>
      <c r="AJ8" s="47">
        <f t="shared" si="26"/>
        <v>4.5941214333333331</v>
      </c>
      <c r="AK8" s="23">
        <f t="shared" si="10"/>
        <v>1000000</v>
      </c>
      <c r="AL8" s="23">
        <f t="shared" si="11"/>
        <v>1685764.56</v>
      </c>
      <c r="AM8" s="24">
        <f t="shared" si="12"/>
        <v>685764.56</v>
      </c>
      <c r="AN8" s="47">
        <f t="shared" si="27"/>
        <v>1.68576456</v>
      </c>
      <c r="AO8" s="16">
        <f t="shared" si="13"/>
        <v>2297103.6799999997</v>
      </c>
      <c r="AP8" s="25">
        <f t="shared" si="14"/>
        <v>1297103.6799999997</v>
      </c>
      <c r="AQ8" s="47">
        <f t="shared" si="28"/>
        <v>2.2971036799999998</v>
      </c>
      <c r="AR8" s="16">
        <f t="shared" si="15"/>
        <v>337152.91200000001</v>
      </c>
      <c r="AS8" s="26">
        <f t="shared" si="16"/>
        <v>459420.73599999992</v>
      </c>
    </row>
    <row r="9" spans="1:45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17"/>
        <v>0</v>
      </c>
      <c r="F9" s="28"/>
      <c r="G9" s="25">
        <f t="shared" si="1"/>
        <v>-500000</v>
      </c>
      <c r="H9" s="108">
        <f t="shared" si="18"/>
        <v>0</v>
      </c>
      <c r="I9" s="106">
        <v>550000</v>
      </c>
      <c r="J9" s="107"/>
      <c r="K9" s="24">
        <f t="shared" si="2"/>
        <v>-550000</v>
      </c>
      <c r="L9" s="108">
        <f t="shared" si="19"/>
        <v>0</v>
      </c>
      <c r="M9" s="28"/>
      <c r="N9" s="25">
        <f t="shared" si="3"/>
        <v>-550000</v>
      </c>
      <c r="O9" s="18">
        <f t="shared" si="20"/>
        <v>0</v>
      </c>
      <c r="P9" s="26">
        <v>600000</v>
      </c>
      <c r="Q9" s="16"/>
      <c r="R9" s="24">
        <f t="shared" si="4"/>
        <v>-600000</v>
      </c>
      <c r="S9" s="18">
        <f t="shared" si="21"/>
        <v>0</v>
      </c>
      <c r="T9" s="28"/>
      <c r="U9" s="25">
        <f t="shared" si="5"/>
        <v>-600000</v>
      </c>
      <c r="V9" s="18">
        <f t="shared" si="22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23"/>
        <v>0.15135869230769231</v>
      </c>
      <c r="AA9" s="28">
        <v>82902.45</v>
      </c>
      <c r="AB9" s="25">
        <f t="shared" si="7"/>
        <v>-567097.55000000005</v>
      </c>
      <c r="AC9" s="18">
        <f t="shared" si="24"/>
        <v>0.12754223076923077</v>
      </c>
      <c r="AD9" s="26">
        <v>700000</v>
      </c>
      <c r="AE9" s="16">
        <v>486.67</v>
      </c>
      <c r="AF9" s="24">
        <f t="shared" si="8"/>
        <v>-699513.33</v>
      </c>
      <c r="AG9" s="18">
        <f t="shared" si="25"/>
        <v>6.9524285714285712E-4</v>
      </c>
      <c r="AH9" s="28">
        <v>15967.69</v>
      </c>
      <c r="AI9" s="25">
        <f t="shared" si="9"/>
        <v>-684032.31</v>
      </c>
      <c r="AJ9" s="18">
        <f t="shared" si="26"/>
        <v>2.2810985714285716E-2</v>
      </c>
      <c r="AK9" s="23">
        <f t="shared" si="10"/>
        <v>3000000</v>
      </c>
      <c r="AL9" s="23">
        <f t="shared" si="11"/>
        <v>98869.819999999992</v>
      </c>
      <c r="AM9" s="24">
        <f t="shared" si="12"/>
        <v>-2901130.18</v>
      </c>
      <c r="AN9" s="18">
        <f t="shared" si="27"/>
        <v>3.2956606666666666E-2</v>
      </c>
      <c r="AO9" s="16">
        <f t="shared" si="13"/>
        <v>98870.14</v>
      </c>
      <c r="AP9" s="25">
        <f t="shared" si="14"/>
        <v>-2901129.86</v>
      </c>
      <c r="AQ9" s="18">
        <f t="shared" si="28"/>
        <v>3.2956713333333332E-2</v>
      </c>
      <c r="AR9" s="16">
        <f t="shared" si="15"/>
        <v>19773.964</v>
      </c>
      <c r="AS9" s="26">
        <f t="shared" si="16"/>
        <v>19774.027999999998</v>
      </c>
    </row>
    <row r="10" spans="1:45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17"/>
        <v>0.53262757049486464</v>
      </c>
      <c r="F10" s="28">
        <v>722856.95</v>
      </c>
      <c r="G10" s="25">
        <f t="shared" si="1"/>
        <v>-615893.05000000005</v>
      </c>
      <c r="H10" s="108">
        <f t="shared" si="18"/>
        <v>0.5399491690009337</v>
      </c>
      <c r="I10" s="109">
        <v>1338750</v>
      </c>
      <c r="J10" s="107">
        <v>775015.59</v>
      </c>
      <c r="K10" s="24">
        <f t="shared" si="2"/>
        <v>-563734.41</v>
      </c>
      <c r="L10" s="108">
        <f t="shared" si="19"/>
        <v>0.57890987114845938</v>
      </c>
      <c r="M10" s="28">
        <v>628695.55000000005</v>
      </c>
      <c r="N10" s="25">
        <f t="shared" si="3"/>
        <v>-710054.45</v>
      </c>
      <c r="O10" s="18">
        <f t="shared" si="20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21"/>
        <v>1.1892632306255835</v>
      </c>
      <c r="T10" s="28">
        <v>252033.57</v>
      </c>
      <c r="U10" s="25">
        <f t="shared" si="5"/>
        <v>-1086716.43</v>
      </c>
      <c r="V10" s="18">
        <f t="shared" si="22"/>
        <v>0.18826036974789917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23"/>
        <v>1.1825044481792717</v>
      </c>
      <c r="AA10" s="28">
        <v>2214145.9300000002</v>
      </c>
      <c r="AB10" s="25">
        <f t="shared" si="7"/>
        <v>875395.93000000017</v>
      </c>
      <c r="AC10" s="47">
        <f t="shared" si="24"/>
        <v>1.6538905172735763</v>
      </c>
      <c r="AD10" s="23">
        <v>1338750</v>
      </c>
      <c r="AE10" s="16">
        <v>440844.33</v>
      </c>
      <c r="AF10" s="24">
        <f t="shared" si="8"/>
        <v>-897905.66999999993</v>
      </c>
      <c r="AG10" s="18">
        <f t="shared" si="25"/>
        <v>0.32929548459383756</v>
      </c>
      <c r="AH10" s="28">
        <v>756675.73</v>
      </c>
      <c r="AI10" s="25">
        <f t="shared" si="9"/>
        <v>-582074.27</v>
      </c>
      <c r="AJ10" s="18">
        <f t="shared" si="26"/>
        <v>0.56521062931839405</v>
      </c>
      <c r="AK10" s="23">
        <f t="shared" si="10"/>
        <v>6693750</v>
      </c>
      <c r="AL10" s="23">
        <f t="shared" si="11"/>
        <v>5104119.0600000005</v>
      </c>
      <c r="AM10" s="24">
        <f t="shared" si="12"/>
        <v>-1589630.9399999995</v>
      </c>
      <c r="AN10" s="18">
        <f t="shared" si="27"/>
        <v>0.76252012100840338</v>
      </c>
      <c r="AO10" s="16">
        <f t="shared" si="13"/>
        <v>4574407.7300000004</v>
      </c>
      <c r="AP10" s="25">
        <f t="shared" si="14"/>
        <v>-2119342.2699999996</v>
      </c>
      <c r="AQ10" s="18">
        <f t="shared" si="28"/>
        <v>0.68338490830999077</v>
      </c>
      <c r="AR10" s="16">
        <f t="shared" si="15"/>
        <v>1020823.8120000002</v>
      </c>
      <c r="AS10" s="26">
        <f t="shared" si="16"/>
        <v>914881.54600000009</v>
      </c>
    </row>
    <row r="11" spans="1:45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17"/>
        <v>1.5186024201680672</v>
      </c>
      <c r="F11" s="28">
        <v>913371.96</v>
      </c>
      <c r="G11" s="25">
        <f t="shared" si="1"/>
        <v>-425378.04000000004</v>
      </c>
      <c r="H11" s="108">
        <f t="shared" si="18"/>
        <v>0.68225729971988791</v>
      </c>
      <c r="I11" s="109">
        <v>1338750</v>
      </c>
      <c r="J11" s="107">
        <v>1709262.17</v>
      </c>
      <c r="K11" s="24">
        <f t="shared" si="2"/>
        <v>370512.16999999993</v>
      </c>
      <c r="L11" s="105">
        <f t="shared" si="19"/>
        <v>1.2767597908496731</v>
      </c>
      <c r="M11" s="28">
        <v>365024.32</v>
      </c>
      <c r="N11" s="25">
        <f t="shared" si="3"/>
        <v>-973725.67999999993</v>
      </c>
      <c r="O11" s="18">
        <f t="shared" si="20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21"/>
        <v>0.45679382259570495</v>
      </c>
      <c r="T11" s="28">
        <v>615830.28</v>
      </c>
      <c r="U11" s="25">
        <f t="shared" si="5"/>
        <v>-722919.72</v>
      </c>
      <c r="V11" s="18">
        <f t="shared" si="22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23"/>
        <v>0.27551929785247437</v>
      </c>
      <c r="AA11" s="28">
        <v>381124.19</v>
      </c>
      <c r="AB11" s="25">
        <f t="shared" si="7"/>
        <v>-957625.81</v>
      </c>
      <c r="AC11" s="18">
        <f t="shared" si="24"/>
        <v>0.2846866031746032</v>
      </c>
      <c r="AD11" s="23">
        <v>1338750</v>
      </c>
      <c r="AE11" s="16">
        <v>146037.41</v>
      </c>
      <c r="AF11" s="24">
        <f t="shared" si="8"/>
        <v>-1192712.5900000001</v>
      </c>
      <c r="AG11" s="18">
        <f t="shared" si="25"/>
        <v>0.10908490009337068</v>
      </c>
      <c r="AH11" s="28">
        <v>128594.55</v>
      </c>
      <c r="AI11" s="25">
        <f t="shared" si="9"/>
        <v>-1210155.45</v>
      </c>
      <c r="AJ11" s="18">
        <f t="shared" si="26"/>
        <v>9.6055686274509805E-2</v>
      </c>
      <c r="AK11" s="23">
        <f t="shared" si="10"/>
        <v>6693750</v>
      </c>
      <c r="AL11" s="23">
        <f t="shared" si="11"/>
        <v>4868712.7600000007</v>
      </c>
      <c r="AM11" s="24">
        <f t="shared" si="12"/>
        <v>-1825037.2399999993</v>
      </c>
      <c r="AN11" s="18">
        <f t="shared" si="27"/>
        <v>0.72735204631185824</v>
      </c>
      <c r="AO11" s="16">
        <f t="shared" si="13"/>
        <v>2403945.2999999998</v>
      </c>
      <c r="AP11" s="25">
        <f t="shared" si="14"/>
        <v>-4289804.7</v>
      </c>
      <c r="AQ11" s="18">
        <f t="shared" si="28"/>
        <v>0.35913281792717083</v>
      </c>
      <c r="AR11" s="16">
        <f t="shared" si="15"/>
        <v>973742.55200000014</v>
      </c>
      <c r="AS11" s="26">
        <f t="shared" si="16"/>
        <v>480789.05999999994</v>
      </c>
    </row>
    <row r="12" spans="1:45" x14ac:dyDescent="0.3">
      <c r="A12" s="22" t="s">
        <v>16</v>
      </c>
      <c r="B12" s="23">
        <v>1338750</v>
      </c>
      <c r="C12" s="16"/>
      <c r="D12" s="24">
        <f t="shared" si="0"/>
        <v>-1338750</v>
      </c>
      <c r="E12" s="18">
        <f t="shared" si="17"/>
        <v>0</v>
      </c>
      <c r="F12" s="28"/>
      <c r="G12" s="25">
        <f t="shared" si="1"/>
        <v>-1338750</v>
      </c>
      <c r="H12" s="18">
        <f t="shared" si="18"/>
        <v>0</v>
      </c>
      <c r="I12" s="23">
        <v>1338750</v>
      </c>
      <c r="J12" s="16">
        <v>8745.0499999999993</v>
      </c>
      <c r="K12" s="24">
        <f t="shared" si="2"/>
        <v>-1330004.95</v>
      </c>
      <c r="L12" s="18">
        <f t="shared" si="19"/>
        <v>6.5322502334267032E-3</v>
      </c>
      <c r="M12" s="28">
        <v>11537.74</v>
      </c>
      <c r="N12" s="25">
        <f t="shared" si="3"/>
        <v>-1327212.26</v>
      </c>
      <c r="O12" s="18">
        <f t="shared" si="20"/>
        <v>8.6182931839402423E-3</v>
      </c>
      <c r="P12" s="23">
        <v>1338750</v>
      </c>
      <c r="Q12" s="16">
        <v>120604.3</v>
      </c>
      <c r="R12" s="24">
        <f t="shared" si="4"/>
        <v>-1218145.7</v>
      </c>
      <c r="S12" s="18">
        <f t="shared" si="21"/>
        <v>9.0087245564892629E-2</v>
      </c>
      <c r="T12" s="28">
        <v>89914.14</v>
      </c>
      <c r="U12" s="25">
        <f t="shared" si="5"/>
        <v>-1248835.8600000001</v>
      </c>
      <c r="V12" s="18">
        <f t="shared" si="22"/>
        <v>6.7162756302521012E-2</v>
      </c>
      <c r="W12" s="23">
        <v>1338750</v>
      </c>
      <c r="X12" s="16">
        <v>51094.76</v>
      </c>
      <c r="Y12" s="24">
        <f t="shared" si="6"/>
        <v>-1287655.24</v>
      </c>
      <c r="Z12" s="18">
        <f t="shared" si="23"/>
        <v>3.8166020541549953E-2</v>
      </c>
      <c r="AA12" s="28"/>
      <c r="AB12" s="25">
        <f t="shared" si="7"/>
        <v>-1338750</v>
      </c>
      <c r="AC12" s="18">
        <f t="shared" si="24"/>
        <v>0</v>
      </c>
      <c r="AD12" s="23">
        <v>1338750</v>
      </c>
      <c r="AE12" s="16">
        <v>46220.78</v>
      </c>
      <c r="AF12" s="24">
        <f t="shared" si="8"/>
        <v>-1292529.22</v>
      </c>
      <c r="AG12" s="18">
        <f t="shared" si="25"/>
        <v>3.4525325863678805E-2</v>
      </c>
      <c r="AH12" s="28">
        <v>214363.17</v>
      </c>
      <c r="AI12" s="25">
        <f t="shared" si="9"/>
        <v>-1124386.83</v>
      </c>
      <c r="AJ12" s="18">
        <f t="shared" si="26"/>
        <v>0.1601218823529412</v>
      </c>
      <c r="AK12" s="23">
        <f t="shared" si="10"/>
        <v>6693750</v>
      </c>
      <c r="AL12" s="23">
        <f t="shared" si="11"/>
        <v>226664.89</v>
      </c>
      <c r="AM12" s="24">
        <f t="shared" si="12"/>
        <v>-6467085.1100000003</v>
      </c>
      <c r="AN12" s="18">
        <f t="shared" si="27"/>
        <v>3.386216844070962E-2</v>
      </c>
      <c r="AO12" s="16">
        <f t="shared" si="13"/>
        <v>315815.05000000005</v>
      </c>
      <c r="AP12" s="25">
        <f t="shared" si="14"/>
        <v>-6377934.9500000002</v>
      </c>
      <c r="AQ12" s="18">
        <f t="shared" si="28"/>
        <v>4.7180586367880493E-2</v>
      </c>
      <c r="AR12" s="16">
        <f t="shared" si="15"/>
        <v>45332.978000000003</v>
      </c>
      <c r="AS12" s="26">
        <f t="shared" si="16"/>
        <v>63163.010000000009</v>
      </c>
    </row>
    <row r="13" spans="1:45" x14ac:dyDescent="0.3">
      <c r="A13" s="22" t="s">
        <v>17</v>
      </c>
      <c r="B13" s="23"/>
      <c r="C13" s="16">
        <v>87046.92</v>
      </c>
      <c r="D13" s="24">
        <f t="shared" si="0"/>
        <v>87046.92</v>
      </c>
      <c r="E13" s="18"/>
      <c r="F13" s="28"/>
      <c r="G13" s="25">
        <f>+F13-B13</f>
        <v>0</v>
      </c>
      <c r="H13" s="18"/>
      <c r="I13" s="23"/>
      <c r="J13" s="16">
        <v>115746.49</v>
      </c>
      <c r="K13" s="24">
        <f t="shared" si="2"/>
        <v>115746.49</v>
      </c>
      <c r="L13" s="18"/>
      <c r="M13" s="28"/>
      <c r="N13" s="25">
        <f>+M13-I13</f>
        <v>0</v>
      </c>
      <c r="O13" s="18"/>
      <c r="P13" s="23"/>
      <c r="Q13" s="16">
        <v>91092.4</v>
      </c>
      <c r="R13" s="24">
        <f t="shared" si="4"/>
        <v>91092.4</v>
      </c>
      <c r="S13" s="18"/>
      <c r="T13" s="28"/>
      <c r="U13" s="25">
        <f>+T13-P13</f>
        <v>0</v>
      </c>
      <c r="V13" s="18"/>
      <c r="W13" s="23"/>
      <c r="X13" s="16"/>
      <c r="Y13" s="24">
        <f t="shared" si="6"/>
        <v>0</v>
      </c>
      <c r="Z13" s="18"/>
      <c r="AA13" s="28"/>
      <c r="AB13" s="25">
        <f>+AA13-W13</f>
        <v>0</v>
      </c>
      <c r="AC13" s="18"/>
      <c r="AD13" s="23"/>
      <c r="AE13" s="16">
        <v>0</v>
      </c>
      <c r="AF13" s="24">
        <f t="shared" si="8"/>
        <v>0</v>
      </c>
      <c r="AG13" s="18"/>
      <c r="AH13" s="28"/>
      <c r="AI13" s="25">
        <f>+AH13-AD13</f>
        <v>0</v>
      </c>
      <c r="AJ13" s="18"/>
      <c r="AK13" s="23">
        <f t="shared" si="10"/>
        <v>0</v>
      </c>
      <c r="AL13" s="23">
        <f t="shared" si="11"/>
        <v>293885.81</v>
      </c>
      <c r="AM13" s="24">
        <f t="shared" si="12"/>
        <v>293885.81</v>
      </c>
      <c r="AN13" s="18"/>
      <c r="AO13" s="16">
        <f t="shared" si="13"/>
        <v>0</v>
      </c>
      <c r="AP13" s="25">
        <f t="shared" si="14"/>
        <v>0</v>
      </c>
      <c r="AQ13" s="18"/>
      <c r="AR13" s="16">
        <f t="shared" si="15"/>
        <v>58777.161999999997</v>
      </c>
      <c r="AS13" s="26">
        <f t="shared" si="16"/>
        <v>0</v>
      </c>
    </row>
    <row r="14" spans="1:45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8" si="29">+C14/B14</f>
        <v>4.5798640522875821E-2</v>
      </c>
      <c r="F14" s="28">
        <v>100067.31</v>
      </c>
      <c r="G14" s="25">
        <f t="shared" si="1"/>
        <v>-1238682.69</v>
      </c>
      <c r="H14" s="18">
        <f t="shared" si="18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ref="L14:L18" si="30">+J14/I14</f>
        <v>0.14859651914098973</v>
      </c>
      <c r="M14" s="28">
        <v>70010.070000000007</v>
      </c>
      <c r="N14" s="25">
        <f t="shared" ref="N14:N18" si="31">+M14-I14</f>
        <v>-1268739.93</v>
      </c>
      <c r="O14" s="18">
        <f t="shared" ref="O14:O18" si="32">+M14/I14</f>
        <v>5.2295103641456585E-2</v>
      </c>
      <c r="P14" s="23">
        <v>1338750</v>
      </c>
      <c r="Q14" s="16">
        <v>292575.34999999998</v>
      </c>
      <c r="R14" s="24">
        <f t="shared" si="4"/>
        <v>-1046174.65</v>
      </c>
      <c r="S14" s="18">
        <f t="shared" ref="S14:S18" si="33">+Q14/P14</f>
        <v>0.21854367880485526</v>
      </c>
      <c r="T14" s="28">
        <v>315180.46999999997</v>
      </c>
      <c r="U14" s="25">
        <f t="shared" ref="U14:U18" si="34">+T14-P14</f>
        <v>-1023569.53</v>
      </c>
      <c r="V14" s="18">
        <f t="shared" ref="V14:V18" si="35">+T14/P14</f>
        <v>0.23542892250233424</v>
      </c>
      <c r="W14" s="23">
        <v>1338750</v>
      </c>
      <c r="X14" s="16">
        <v>573857.67000000004</v>
      </c>
      <c r="Y14" s="24">
        <f t="shared" si="6"/>
        <v>-764892.33</v>
      </c>
      <c r="Z14" s="18">
        <f t="shared" ref="Z14" si="36">+X14/W14</f>
        <v>0.42865185434173675</v>
      </c>
      <c r="AA14" s="28">
        <v>274355.09000000003</v>
      </c>
      <c r="AB14" s="25">
        <f t="shared" ref="AB14:AB18" si="37">+AA14-W14</f>
        <v>-1064394.9099999999</v>
      </c>
      <c r="AC14" s="18">
        <f t="shared" ref="AC14" si="38">+AA14/W14</f>
        <v>0.20493377404295055</v>
      </c>
      <c r="AD14" s="23">
        <v>1338750</v>
      </c>
      <c r="AE14" s="16">
        <v>488350.75</v>
      </c>
      <c r="AF14" s="24">
        <f t="shared" si="8"/>
        <v>-850399.25</v>
      </c>
      <c r="AG14" s="18">
        <f t="shared" ref="AG14" si="39">+AE14/AD14</f>
        <v>0.36478113912231558</v>
      </c>
      <c r="AH14" s="28">
        <v>1263758.79</v>
      </c>
      <c r="AI14" s="25">
        <f t="shared" ref="AI14:AI18" si="40">+AH14-AD14</f>
        <v>-74991.209999999963</v>
      </c>
      <c r="AJ14" s="18">
        <f t="shared" ref="AJ14" si="41">+AH14/AD14</f>
        <v>0.94398415686274517</v>
      </c>
      <c r="AK14" s="23">
        <f t="shared" si="10"/>
        <v>6693750</v>
      </c>
      <c r="AL14" s="23">
        <f t="shared" si="11"/>
        <v>1615030.29</v>
      </c>
      <c r="AM14" s="24">
        <f t="shared" si="12"/>
        <v>-5078719.71</v>
      </c>
      <c r="AN14" s="18">
        <f t="shared" si="27"/>
        <v>0.24127436638655464</v>
      </c>
      <c r="AO14" s="16">
        <f t="shared" si="13"/>
        <v>2023371.73</v>
      </c>
      <c r="AP14" s="25">
        <f t="shared" si="14"/>
        <v>-4670378.2699999996</v>
      </c>
      <c r="AQ14" s="18">
        <f t="shared" si="28"/>
        <v>0.30227775611577962</v>
      </c>
      <c r="AR14" s="16">
        <f t="shared" si="15"/>
        <v>323006.05800000002</v>
      </c>
      <c r="AS14" s="26">
        <f t="shared" si="16"/>
        <v>404674.34600000002</v>
      </c>
    </row>
    <row r="15" spans="1:45" x14ac:dyDescent="0.3">
      <c r="A15" s="22" t="s">
        <v>19</v>
      </c>
      <c r="B15" s="23">
        <v>400000</v>
      </c>
      <c r="C15" s="16">
        <v>29901.71</v>
      </c>
      <c r="D15" s="24">
        <f t="shared" si="0"/>
        <v>-370098.29</v>
      </c>
      <c r="E15" s="18">
        <f t="shared" si="29"/>
        <v>7.4754274999999995E-2</v>
      </c>
      <c r="F15" s="28">
        <v>24830.18</v>
      </c>
      <c r="G15" s="25">
        <f t="shared" si="1"/>
        <v>-375169.82</v>
      </c>
      <c r="H15" s="18">
        <f t="shared" si="18"/>
        <v>6.2075449999999997E-2</v>
      </c>
      <c r="I15" s="23">
        <v>450000</v>
      </c>
      <c r="J15" s="16">
        <v>17492.240000000002</v>
      </c>
      <c r="K15" s="24">
        <f t="shared" si="2"/>
        <v>-432507.76</v>
      </c>
      <c r="L15" s="18">
        <f t="shared" si="30"/>
        <v>3.887164444444445E-2</v>
      </c>
      <c r="M15" s="28">
        <v>17490.080000000002</v>
      </c>
      <c r="N15" s="25">
        <f t="shared" si="31"/>
        <v>-432509.92</v>
      </c>
      <c r="O15" s="18">
        <f t="shared" si="32"/>
        <v>3.8866844444444451E-2</v>
      </c>
      <c r="P15" s="23"/>
      <c r="Q15" s="16"/>
      <c r="R15" s="24">
        <f t="shared" si="4"/>
        <v>0</v>
      </c>
      <c r="S15" s="18"/>
      <c r="T15" s="28"/>
      <c r="U15" s="25">
        <f t="shared" si="34"/>
        <v>0</v>
      </c>
      <c r="V15" s="18"/>
      <c r="W15" s="23"/>
      <c r="X15" s="16"/>
      <c r="Y15" s="24">
        <f t="shared" si="6"/>
        <v>0</v>
      </c>
      <c r="Z15" s="18"/>
      <c r="AA15" s="28"/>
      <c r="AB15" s="25">
        <f t="shared" si="37"/>
        <v>0</v>
      </c>
      <c r="AC15" s="18"/>
      <c r="AD15" s="23"/>
      <c r="AE15" s="16"/>
      <c r="AF15" s="24">
        <f t="shared" si="8"/>
        <v>0</v>
      </c>
      <c r="AG15" s="18"/>
      <c r="AH15" s="28"/>
      <c r="AI15" s="25">
        <f t="shared" si="40"/>
        <v>0</v>
      </c>
      <c r="AJ15" s="18"/>
      <c r="AK15" s="23">
        <f t="shared" si="10"/>
        <v>850000</v>
      </c>
      <c r="AL15" s="23">
        <f t="shared" si="11"/>
        <v>47393.95</v>
      </c>
      <c r="AM15" s="24">
        <f t="shared" si="12"/>
        <v>-802606.05</v>
      </c>
      <c r="AN15" s="18">
        <f t="shared" si="27"/>
        <v>5.5757588235294114E-2</v>
      </c>
      <c r="AO15" s="16">
        <f t="shared" si="13"/>
        <v>42320.26</v>
      </c>
      <c r="AP15" s="25">
        <f t="shared" si="14"/>
        <v>-807679.74</v>
      </c>
      <c r="AQ15" s="18">
        <f t="shared" si="28"/>
        <v>4.9788541176470594E-2</v>
      </c>
      <c r="AR15" s="16">
        <f t="shared" si="15"/>
        <v>9478.7899999999991</v>
      </c>
      <c r="AS15" s="26">
        <f t="shared" si="16"/>
        <v>8464.0519999999997</v>
      </c>
    </row>
    <row r="16" spans="1:45" x14ac:dyDescent="0.3">
      <c r="A16" s="22" t="s">
        <v>20</v>
      </c>
      <c r="B16" s="23">
        <v>1338750</v>
      </c>
      <c r="C16" s="16">
        <v>110791.25</v>
      </c>
      <c r="D16" s="24">
        <f t="shared" si="0"/>
        <v>-1227958.75</v>
      </c>
      <c r="E16" s="18">
        <f t="shared" si="29"/>
        <v>8.2757236227824466E-2</v>
      </c>
      <c r="F16" s="28">
        <v>136979.66</v>
      </c>
      <c r="G16" s="25">
        <f t="shared" si="1"/>
        <v>-1201770.3400000001</v>
      </c>
      <c r="H16" s="18">
        <f t="shared" si="18"/>
        <v>0.10231907376283847</v>
      </c>
      <c r="I16" s="23">
        <v>1338750</v>
      </c>
      <c r="J16" s="16">
        <v>78051.38</v>
      </c>
      <c r="K16" s="24">
        <f t="shared" si="2"/>
        <v>-1260698.6200000001</v>
      </c>
      <c r="L16" s="18">
        <f t="shared" si="30"/>
        <v>5.8301684407096176E-2</v>
      </c>
      <c r="M16" s="28">
        <v>40912.379999999997</v>
      </c>
      <c r="N16" s="25">
        <f t="shared" si="31"/>
        <v>-1297837.6200000001</v>
      </c>
      <c r="O16" s="18">
        <f t="shared" si="32"/>
        <v>3.0560134453781512E-2</v>
      </c>
      <c r="P16" s="23">
        <v>1338750</v>
      </c>
      <c r="Q16" s="16">
        <v>506672.98</v>
      </c>
      <c r="R16" s="24">
        <f t="shared" si="4"/>
        <v>-832077.02</v>
      </c>
      <c r="S16" s="18">
        <f t="shared" si="33"/>
        <v>0.37846721195144722</v>
      </c>
      <c r="T16" s="28">
        <v>952568.93</v>
      </c>
      <c r="U16" s="25">
        <f t="shared" si="34"/>
        <v>-386181.06999999995</v>
      </c>
      <c r="V16" s="18">
        <f t="shared" si="35"/>
        <v>0.7115360821661999</v>
      </c>
      <c r="W16" s="23">
        <v>1338750</v>
      </c>
      <c r="X16" s="16">
        <v>1183557.54</v>
      </c>
      <c r="Y16" s="24">
        <f t="shared" si="6"/>
        <v>-155192.45999999996</v>
      </c>
      <c r="Z16" s="18">
        <f t="shared" ref="Z16:Z18" si="42">+X16/W16</f>
        <v>0.88407659383753501</v>
      </c>
      <c r="AA16" s="28">
        <v>1644577.69</v>
      </c>
      <c r="AB16" s="25">
        <f t="shared" si="37"/>
        <v>305827.68999999994</v>
      </c>
      <c r="AC16" s="47">
        <f t="shared" ref="AC16:AC18" si="43">+AA16/W16</f>
        <v>1.2284427189542484</v>
      </c>
      <c r="AD16" s="23">
        <v>1338750</v>
      </c>
      <c r="AE16" s="16">
        <v>108786.81</v>
      </c>
      <c r="AF16" s="24">
        <f t="shared" si="8"/>
        <v>-1229963.19</v>
      </c>
      <c r="AG16" s="18">
        <f t="shared" ref="AG16:AG18" si="44">+AE16/AD16</f>
        <v>8.1259988795518212E-2</v>
      </c>
      <c r="AH16" s="28">
        <v>140161.89000000001</v>
      </c>
      <c r="AI16" s="25">
        <f t="shared" si="40"/>
        <v>-1198588.1099999999</v>
      </c>
      <c r="AJ16" s="18">
        <f t="shared" ref="AJ16:AJ18" si="45">+AH16/AD16</f>
        <v>0.10469608963585435</v>
      </c>
      <c r="AK16" s="23">
        <f t="shared" si="10"/>
        <v>6693750</v>
      </c>
      <c r="AL16" s="23">
        <f t="shared" si="11"/>
        <v>1987859.96</v>
      </c>
      <c r="AM16" s="24">
        <f t="shared" si="12"/>
        <v>-4705890.04</v>
      </c>
      <c r="AN16" s="18">
        <f t="shared" si="27"/>
        <v>0.29697254304388421</v>
      </c>
      <c r="AO16" s="16">
        <f t="shared" si="13"/>
        <v>2915200.5500000003</v>
      </c>
      <c r="AP16" s="25">
        <f t="shared" si="14"/>
        <v>-3778549.4499999997</v>
      </c>
      <c r="AQ16" s="18">
        <f t="shared" si="28"/>
        <v>0.43551081979458456</v>
      </c>
      <c r="AR16" s="16">
        <f t="shared" si="15"/>
        <v>397571.99199999997</v>
      </c>
      <c r="AS16" s="26">
        <f t="shared" si="16"/>
        <v>583040.1100000001</v>
      </c>
    </row>
    <row r="17" spans="1:45" x14ac:dyDescent="0.3">
      <c r="A17" s="22" t="s">
        <v>21</v>
      </c>
      <c r="B17" s="23">
        <v>1338750</v>
      </c>
      <c r="C17" s="16">
        <v>2188130.21</v>
      </c>
      <c r="D17" s="24">
        <f t="shared" si="0"/>
        <v>849380.21</v>
      </c>
      <c r="E17" s="47">
        <f t="shared" si="29"/>
        <v>1.6344576732026144</v>
      </c>
      <c r="F17" s="29">
        <v>349914.15</v>
      </c>
      <c r="G17" s="25">
        <f t="shared" si="1"/>
        <v>-988835.85</v>
      </c>
      <c r="H17" s="18">
        <f t="shared" si="18"/>
        <v>0.26137378151260504</v>
      </c>
      <c r="I17" s="23">
        <v>1338750</v>
      </c>
      <c r="J17" s="16">
        <v>16172227.199999999</v>
      </c>
      <c r="K17" s="24">
        <f t="shared" si="2"/>
        <v>14833477.199999999</v>
      </c>
      <c r="L17" s="47">
        <f t="shared" si="30"/>
        <v>12.080095014005602</v>
      </c>
      <c r="M17" s="29">
        <v>5659626.5</v>
      </c>
      <c r="N17" s="25">
        <f t="shared" si="31"/>
        <v>4320876.5</v>
      </c>
      <c r="O17" s="47">
        <f t="shared" si="32"/>
        <v>4.2275454715219425</v>
      </c>
      <c r="P17" s="23">
        <v>1338750</v>
      </c>
      <c r="Q17" s="16">
        <v>5101264.1900000004</v>
      </c>
      <c r="R17" s="24">
        <f t="shared" si="4"/>
        <v>3762514.1900000004</v>
      </c>
      <c r="S17" s="47">
        <f t="shared" si="33"/>
        <v>3.8104681157796456</v>
      </c>
      <c r="T17" s="29">
        <v>1912504.6</v>
      </c>
      <c r="U17" s="25">
        <f t="shared" si="34"/>
        <v>573754.60000000009</v>
      </c>
      <c r="V17" s="47">
        <f t="shared" si="35"/>
        <v>1.4285748646125118</v>
      </c>
      <c r="W17" s="23">
        <v>1338750</v>
      </c>
      <c r="X17" s="16">
        <v>2461509.7799999998</v>
      </c>
      <c r="Y17" s="24">
        <f t="shared" si="6"/>
        <v>1122759.7799999998</v>
      </c>
      <c r="Z17" s="47">
        <f t="shared" si="42"/>
        <v>1.8386627675070026</v>
      </c>
      <c r="AA17" s="29">
        <v>3085661.51</v>
      </c>
      <c r="AB17" s="25">
        <f t="shared" si="37"/>
        <v>1746911.5099999998</v>
      </c>
      <c r="AC17" s="47">
        <f t="shared" si="43"/>
        <v>2.3048825471521939</v>
      </c>
      <c r="AD17" s="23">
        <v>1338750</v>
      </c>
      <c r="AE17" s="16">
        <v>1320118.92</v>
      </c>
      <c r="AF17" s="24">
        <f t="shared" si="8"/>
        <v>-18631.080000000075</v>
      </c>
      <c r="AG17" s="18">
        <f t="shared" si="44"/>
        <v>0.98608322689075623</v>
      </c>
      <c r="AH17" s="29">
        <v>3891825.19</v>
      </c>
      <c r="AI17" s="25">
        <f t="shared" si="40"/>
        <v>2553075.19</v>
      </c>
      <c r="AJ17" s="47">
        <f t="shared" si="45"/>
        <v>2.9070589654528476</v>
      </c>
      <c r="AK17" s="23">
        <f t="shared" si="10"/>
        <v>6693750</v>
      </c>
      <c r="AL17" s="23">
        <f t="shared" si="11"/>
        <v>27243250.300000004</v>
      </c>
      <c r="AM17" s="24">
        <f t="shared" si="12"/>
        <v>20549500.300000004</v>
      </c>
      <c r="AN17" s="47">
        <f t="shared" si="27"/>
        <v>4.0699533594771244</v>
      </c>
      <c r="AO17" s="16">
        <f t="shared" si="13"/>
        <v>14899531.949999999</v>
      </c>
      <c r="AP17" s="25">
        <f t="shared" si="14"/>
        <v>8205781.9499999993</v>
      </c>
      <c r="AQ17" s="47">
        <f t="shared" si="28"/>
        <v>2.2258871260504201</v>
      </c>
      <c r="AR17" s="16">
        <f t="shared" si="15"/>
        <v>5448650.0600000005</v>
      </c>
      <c r="AS17" s="26">
        <f t="shared" si="16"/>
        <v>2979906.3899999997</v>
      </c>
    </row>
    <row r="18" spans="1:45" x14ac:dyDescent="0.3">
      <c r="A18" s="22" t="s">
        <v>22</v>
      </c>
      <c r="B18" s="23">
        <v>500000</v>
      </c>
      <c r="C18" s="16">
        <v>552980.43000000005</v>
      </c>
      <c r="D18" s="24">
        <f t="shared" si="0"/>
        <v>52980.430000000051</v>
      </c>
      <c r="E18" s="47">
        <f t="shared" si="29"/>
        <v>1.1059608600000002</v>
      </c>
      <c r="F18" s="29">
        <v>551981.43000000005</v>
      </c>
      <c r="G18" s="25">
        <f t="shared" si="1"/>
        <v>51981.430000000051</v>
      </c>
      <c r="H18" s="47">
        <f t="shared" si="18"/>
        <v>1.1039628600000002</v>
      </c>
      <c r="I18" s="23">
        <v>550000</v>
      </c>
      <c r="J18" s="16">
        <v>1283683.3700000001</v>
      </c>
      <c r="K18" s="24">
        <f t="shared" si="2"/>
        <v>733683.37000000011</v>
      </c>
      <c r="L18" s="47">
        <f t="shared" si="30"/>
        <v>2.3339697636363637</v>
      </c>
      <c r="M18" s="29">
        <v>1508451.15</v>
      </c>
      <c r="N18" s="25">
        <f t="shared" si="31"/>
        <v>958451.14999999991</v>
      </c>
      <c r="O18" s="47">
        <f t="shared" si="32"/>
        <v>2.7426384545454545</v>
      </c>
      <c r="P18" s="23">
        <v>600000</v>
      </c>
      <c r="Q18" s="16">
        <v>884030.54</v>
      </c>
      <c r="R18" s="24">
        <f t="shared" si="4"/>
        <v>284030.54000000004</v>
      </c>
      <c r="S18" s="47">
        <f t="shared" si="33"/>
        <v>1.4733842333333333</v>
      </c>
      <c r="T18" s="29">
        <v>345604.95</v>
      </c>
      <c r="U18" s="25">
        <f t="shared" si="34"/>
        <v>-254395.05</v>
      </c>
      <c r="V18" s="18">
        <f t="shared" si="35"/>
        <v>0.57600825</v>
      </c>
      <c r="W18" s="23">
        <v>650000</v>
      </c>
      <c r="X18" s="16">
        <v>620234.69999999995</v>
      </c>
      <c r="Y18" s="24">
        <f t="shared" si="6"/>
        <v>-29765.300000000047</v>
      </c>
      <c r="Z18" s="18">
        <f t="shared" si="42"/>
        <v>0.95420723076923075</v>
      </c>
      <c r="AA18" s="29">
        <v>801040.53</v>
      </c>
      <c r="AB18" s="25">
        <f t="shared" si="37"/>
        <v>151040.53000000003</v>
      </c>
      <c r="AC18" s="47">
        <f t="shared" si="43"/>
        <v>1.2323700461538463</v>
      </c>
      <c r="AD18" s="23">
        <v>700000</v>
      </c>
      <c r="AE18" s="16">
        <v>805853.51</v>
      </c>
      <c r="AF18" s="24">
        <f t="shared" si="8"/>
        <v>105853.51000000001</v>
      </c>
      <c r="AG18" s="47">
        <f t="shared" si="44"/>
        <v>1.1512192999999999</v>
      </c>
      <c r="AH18" s="29">
        <v>598551.30000000005</v>
      </c>
      <c r="AI18" s="25">
        <f t="shared" si="40"/>
        <v>-101448.69999999995</v>
      </c>
      <c r="AJ18" s="18">
        <f t="shared" si="45"/>
        <v>0.85507328571428576</v>
      </c>
      <c r="AK18" s="23">
        <f t="shared" si="10"/>
        <v>3000000</v>
      </c>
      <c r="AL18" s="23">
        <f t="shared" si="11"/>
        <v>4146782.55</v>
      </c>
      <c r="AM18" s="24">
        <f t="shared" si="12"/>
        <v>1146782.5499999998</v>
      </c>
      <c r="AN18" s="47">
        <f t="shared" si="27"/>
        <v>1.38226085</v>
      </c>
      <c r="AO18" s="16">
        <f t="shared" si="13"/>
        <v>3805629.3600000003</v>
      </c>
      <c r="AP18" s="25">
        <f t="shared" si="14"/>
        <v>805629.36000000034</v>
      </c>
      <c r="AQ18" s="47">
        <f t="shared" si="28"/>
        <v>1.2685431200000001</v>
      </c>
      <c r="AR18" s="16">
        <f t="shared" si="15"/>
        <v>829356.51</v>
      </c>
      <c r="AS18" s="26">
        <f t="shared" si="16"/>
        <v>761125.87200000009</v>
      </c>
    </row>
    <row r="19" spans="1:45" x14ac:dyDescent="0.3">
      <c r="A19" s="22" t="s">
        <v>26</v>
      </c>
      <c r="B19" s="23"/>
      <c r="C19" s="16">
        <v>60669.83</v>
      </c>
      <c r="D19" s="24">
        <f>+C19-B19</f>
        <v>60669.83</v>
      </c>
      <c r="E19" s="18"/>
      <c r="F19" s="28">
        <v>74635.009999999995</v>
      </c>
      <c r="G19" s="25">
        <f>+F19-B19</f>
        <v>74635.009999999995</v>
      </c>
      <c r="H19" s="18"/>
      <c r="I19" s="23"/>
      <c r="J19" s="16">
        <f>327.32+8787.51</f>
        <v>9114.83</v>
      </c>
      <c r="K19" s="24">
        <f>+J19-I19</f>
        <v>9114.83</v>
      </c>
      <c r="L19" s="18"/>
      <c r="M19" s="28">
        <v>5256.55</v>
      </c>
      <c r="N19" s="25">
        <f>+M19-I19</f>
        <v>5256.55</v>
      </c>
      <c r="O19" s="18"/>
      <c r="P19" s="23"/>
      <c r="Q19" s="16">
        <v>33104.07</v>
      </c>
      <c r="R19" s="24">
        <f>+Q19-P19</f>
        <v>33104.07</v>
      </c>
      <c r="S19" s="18"/>
      <c r="T19" s="28">
        <v>23024.37</v>
      </c>
      <c r="U19" s="25">
        <f>+T19-P19</f>
        <v>23024.37</v>
      </c>
      <c r="V19" s="18"/>
      <c r="W19" s="23"/>
      <c r="X19" s="16">
        <v>10029.39</v>
      </c>
      <c r="Y19" s="24">
        <f>+X19-W19</f>
        <v>10029.39</v>
      </c>
      <c r="Z19" s="18"/>
      <c r="AA19" s="28">
        <v>16193.03</v>
      </c>
      <c r="AB19" s="25">
        <f>+AA19-W19</f>
        <v>16193.03</v>
      </c>
      <c r="AC19" s="18"/>
      <c r="AD19" s="23"/>
      <c r="AE19" s="16">
        <v>19130.11</v>
      </c>
      <c r="AF19" s="24">
        <f>+AE19-AD19</f>
        <v>19130.11</v>
      </c>
      <c r="AG19" s="18"/>
      <c r="AH19" s="28">
        <v>19324.61</v>
      </c>
      <c r="AI19" s="25">
        <f>+AH19-AD19</f>
        <v>19324.61</v>
      </c>
      <c r="AJ19" s="18"/>
      <c r="AK19" s="23">
        <f t="shared" si="10"/>
        <v>0</v>
      </c>
      <c r="AL19" s="23">
        <f t="shared" si="11"/>
        <v>132048.23000000001</v>
      </c>
      <c r="AM19" s="24">
        <f t="shared" si="12"/>
        <v>132048.23000000001</v>
      </c>
      <c r="AN19" s="18"/>
      <c r="AO19" s="16">
        <f t="shared" si="13"/>
        <v>138433.57</v>
      </c>
      <c r="AP19" s="25">
        <f t="shared" si="14"/>
        <v>138433.57</v>
      </c>
      <c r="AQ19" s="18"/>
      <c r="AR19" s="16">
        <f t="shared" si="15"/>
        <v>26409.646000000001</v>
      </c>
      <c r="AS19" s="26">
        <f t="shared" si="16"/>
        <v>27686.714</v>
      </c>
    </row>
    <row r="20" spans="1:45" ht="15" thickBot="1" x14ac:dyDescent="0.35">
      <c r="A20" s="22"/>
      <c r="B20" s="23"/>
      <c r="C20" s="16"/>
      <c r="D20" s="24"/>
      <c r="E20" s="30"/>
      <c r="F20" s="29"/>
      <c r="G20" s="25"/>
      <c r="H20" s="18"/>
      <c r="I20" s="23"/>
      <c r="J20" s="16"/>
      <c r="K20" s="24"/>
      <c r="L20" s="30"/>
      <c r="M20" s="29"/>
      <c r="N20" s="25"/>
      <c r="O20" s="18"/>
      <c r="P20" s="23"/>
      <c r="Q20" s="16"/>
      <c r="R20" s="24"/>
      <c r="S20" s="30"/>
      <c r="T20" s="29"/>
      <c r="U20" s="25"/>
      <c r="V20" s="18"/>
      <c r="W20" s="23"/>
      <c r="X20" s="16"/>
      <c r="Y20" s="24"/>
      <c r="Z20" s="30"/>
      <c r="AA20" s="29"/>
      <c r="AB20" s="25"/>
      <c r="AC20" s="18"/>
      <c r="AD20" s="23"/>
      <c r="AE20" s="16"/>
      <c r="AF20" s="24"/>
      <c r="AG20" s="30"/>
      <c r="AH20" s="29"/>
      <c r="AI20" s="25"/>
      <c r="AJ20" s="18"/>
      <c r="AK20" s="78"/>
      <c r="AL20" s="78"/>
      <c r="AM20" s="79"/>
      <c r="AN20" s="80"/>
      <c r="AO20" s="78"/>
      <c r="AP20" s="81"/>
      <c r="AQ20" s="82"/>
      <c r="AR20" s="83"/>
      <c r="AS20" s="82"/>
    </row>
    <row r="21" spans="1:45" ht="15" thickBot="1" x14ac:dyDescent="0.35">
      <c r="A21" s="31" t="s">
        <v>23</v>
      </c>
      <c r="B21" s="32">
        <f>SUM(B4:B20)</f>
        <v>12098000</v>
      </c>
      <c r="C21" s="32">
        <f>SUM(C4:C20)</f>
        <v>9551724.5199999996</v>
      </c>
      <c r="D21" s="32">
        <f>SUM(D4:D20)</f>
        <v>-2546275.4799999995</v>
      </c>
      <c r="E21" s="33">
        <f>+C21/B21</f>
        <v>0.78952922135890224</v>
      </c>
      <c r="F21" s="32">
        <f>SUM(F4:F20)</f>
        <v>5928443.7299999986</v>
      </c>
      <c r="G21" s="32">
        <f>SUM(G4:G20)</f>
        <v>-6169556.2700000005</v>
      </c>
      <c r="H21" s="33">
        <f>+F21/B21</f>
        <v>0.49003502479748706</v>
      </c>
      <c r="I21" s="32">
        <f>SUM(I4:I20)</f>
        <v>12348000</v>
      </c>
      <c r="J21" s="32">
        <f>SUM(J4:J20)</f>
        <v>22744224.27</v>
      </c>
      <c r="K21" s="32">
        <f>SUM(K4:K20)</f>
        <v>10396224.270000001</v>
      </c>
      <c r="L21" s="91">
        <f>+J21/I21</f>
        <v>1.8419358819241982</v>
      </c>
      <c r="M21" s="32">
        <f>SUM(M4:M20)</f>
        <v>10257478.640000001</v>
      </c>
      <c r="N21" s="32">
        <f>SUM(N4:N20)</f>
        <v>-2090521.3599999996</v>
      </c>
      <c r="O21" s="90">
        <f>+M21/I21</f>
        <v>0.83069959831551676</v>
      </c>
      <c r="P21" s="32">
        <f>SUM(P4:P20)</f>
        <v>12098000</v>
      </c>
      <c r="Q21" s="32">
        <f>SUM(Q4:Q20)</f>
        <v>11511387.870000001</v>
      </c>
      <c r="R21" s="32">
        <f>SUM(R4:R20)</f>
        <v>-586612.12999999931</v>
      </c>
      <c r="S21" s="33">
        <f>+Q21/P21</f>
        <v>0.95151164407340061</v>
      </c>
      <c r="T21" s="32">
        <f>SUM(T4:T20)</f>
        <v>6934716.7400000002</v>
      </c>
      <c r="U21" s="32">
        <f>SUM(U4:U20)</f>
        <v>-5163283.26</v>
      </c>
      <c r="V21" s="90">
        <f>+T21/P21</f>
        <v>0.57321183170772028</v>
      </c>
      <c r="W21" s="32">
        <f>SUM(W4:W20)</f>
        <v>12298000</v>
      </c>
      <c r="X21" s="32">
        <f>SUM(X4:X20)</f>
        <v>8576678.75</v>
      </c>
      <c r="Y21" s="32">
        <f>SUM(Y4:Y20)</f>
        <v>-3721321.2500000005</v>
      </c>
      <c r="Z21" s="33">
        <f>+X21/W21</f>
        <v>0.69740435436656367</v>
      </c>
      <c r="AA21" s="32">
        <f>SUM(AA4:AA20)</f>
        <v>10150487.109999999</v>
      </c>
      <c r="AB21" s="32">
        <f>SUM(AB4:AB20)</f>
        <v>-2147512.8900000011</v>
      </c>
      <c r="AC21" s="90">
        <f>+AA21/W21</f>
        <v>0.82537706212392259</v>
      </c>
      <c r="AD21" s="32">
        <f>SUM(AD4:AD20)</f>
        <v>12498000</v>
      </c>
      <c r="AE21" s="32">
        <f>SUM(AE4:AE20)</f>
        <v>6257997.7400000002</v>
      </c>
      <c r="AF21" s="32">
        <f>SUM(AF4:AF20)</f>
        <v>-6240002.2599999988</v>
      </c>
      <c r="AG21" s="33">
        <f>+AE21/AD21</f>
        <v>0.50071993438950235</v>
      </c>
      <c r="AH21" s="32">
        <f>SUM(AH4:AH20)</f>
        <v>10520270.119999999</v>
      </c>
      <c r="AI21" s="32">
        <f>SUM(AI4:AI20)</f>
        <v>-1977729.8800000004</v>
      </c>
      <c r="AJ21" s="90">
        <f>+AH21/AD21</f>
        <v>0.84175629060649693</v>
      </c>
      <c r="AK21" s="89">
        <f>SUM(AK4:AK19)</f>
        <v>61340000</v>
      </c>
      <c r="AL21" s="32">
        <f>SUM(AL4:AL19)</f>
        <v>58642013.149999999</v>
      </c>
      <c r="AM21" s="84">
        <f>+AL21-AK21</f>
        <v>-2697986.8500000015</v>
      </c>
      <c r="AN21" s="85">
        <f>+AL21/AK21</f>
        <v>0.95601586485164658</v>
      </c>
      <c r="AO21" s="86">
        <f>SUM(AO4:AO19)</f>
        <v>43791396.340000004</v>
      </c>
      <c r="AP21" s="87">
        <f>+AO21-AK21</f>
        <v>-17548603.659999996</v>
      </c>
      <c r="AQ21" s="85">
        <f>+AO21/AK21</f>
        <v>0.71391255852624724</v>
      </c>
      <c r="AR21" s="86">
        <f>+AL21/5</f>
        <v>11728402.629999999</v>
      </c>
      <c r="AS21" s="88">
        <f>+AO21/5</f>
        <v>8758279.2680000011</v>
      </c>
    </row>
    <row r="22" spans="1:45" x14ac:dyDescent="0.3">
      <c r="A22" s="22"/>
      <c r="B22" s="23"/>
      <c r="C22" s="16"/>
      <c r="D22" s="34"/>
      <c r="E22" s="18"/>
      <c r="F22" s="29"/>
      <c r="G22" s="35"/>
      <c r="H22" s="18"/>
      <c r="I22" s="23"/>
      <c r="J22" s="16"/>
      <c r="K22" s="34"/>
      <c r="L22" s="18"/>
      <c r="M22" s="29"/>
      <c r="N22" s="35"/>
      <c r="O22" s="18"/>
      <c r="P22" s="23"/>
      <c r="Q22" s="16"/>
      <c r="R22" s="34"/>
      <c r="S22" s="18"/>
      <c r="T22" s="29"/>
      <c r="U22" s="35"/>
      <c r="V22" s="18"/>
      <c r="W22" s="23"/>
      <c r="X22" s="16"/>
      <c r="Y22" s="34"/>
      <c r="Z22" s="18"/>
      <c r="AA22" s="29"/>
      <c r="AB22" s="35"/>
      <c r="AC22" s="18"/>
      <c r="AD22" s="23"/>
      <c r="AE22" s="16"/>
      <c r="AF22" s="34"/>
      <c r="AG22" s="18"/>
      <c r="AH22" s="29"/>
      <c r="AI22" s="35"/>
      <c r="AJ22" s="18"/>
      <c r="AK22" s="23"/>
      <c r="AL22" s="16"/>
      <c r="AM22" s="34"/>
      <c r="AN22" s="18"/>
      <c r="AO22" s="29"/>
      <c r="AP22" s="35"/>
      <c r="AQ22" s="18"/>
      <c r="AR22" s="16"/>
      <c r="AS22" s="26"/>
    </row>
    <row r="23" spans="1:45" x14ac:dyDescent="0.3">
      <c r="A23" s="22" t="s">
        <v>25</v>
      </c>
      <c r="B23" s="26"/>
      <c r="C23" s="16">
        <v>5189998</v>
      </c>
      <c r="E23" s="18"/>
      <c r="F23" s="29">
        <v>6473867</v>
      </c>
      <c r="H23" s="37"/>
      <c r="I23" s="26"/>
      <c r="J23" s="16">
        <v>6480867</v>
      </c>
      <c r="L23" s="18"/>
      <c r="M23" s="29">
        <v>4656309</v>
      </c>
      <c r="O23" s="37"/>
      <c r="P23" s="26"/>
      <c r="Q23" s="16">
        <v>5002093</v>
      </c>
      <c r="S23" s="18"/>
      <c r="T23" s="29">
        <v>4948390</v>
      </c>
      <c r="V23" s="37"/>
      <c r="W23" s="26"/>
      <c r="X23" s="16">
        <v>5759007</v>
      </c>
      <c r="Z23" s="18"/>
      <c r="AA23" s="29">
        <v>5350403</v>
      </c>
      <c r="AC23" s="37"/>
      <c r="AD23" s="26"/>
      <c r="AE23" s="16">
        <v>35091548</v>
      </c>
      <c r="AG23" s="18"/>
      <c r="AH23" s="29">
        <v>46426011</v>
      </c>
      <c r="AJ23" s="37"/>
      <c r="AK23" s="26"/>
      <c r="AL23" s="16">
        <f>+C23+J23+Q23+X23+AE23</f>
        <v>57523513</v>
      </c>
      <c r="AN23" s="18"/>
      <c r="AO23" s="16">
        <f>+F23+M23+T23+AA23+AH23</f>
        <v>67854980</v>
      </c>
      <c r="AP23" s="36"/>
      <c r="AQ23" s="37"/>
      <c r="AR23" s="16">
        <f>+AL23/5</f>
        <v>11504702.6</v>
      </c>
      <c r="AS23" s="26">
        <f>+AO23/5</f>
        <v>13570996</v>
      </c>
    </row>
    <row r="24" spans="1:45" x14ac:dyDescent="0.3">
      <c r="A24" s="38"/>
      <c r="B24" s="26"/>
      <c r="C24" s="16"/>
      <c r="E24" s="18"/>
      <c r="F24" s="29"/>
      <c r="H24" s="37"/>
      <c r="I24" s="26"/>
      <c r="J24" s="16"/>
      <c r="L24" s="18"/>
      <c r="M24" s="29"/>
      <c r="O24" s="37"/>
      <c r="P24" s="26"/>
      <c r="Q24" s="16"/>
      <c r="S24" s="18"/>
      <c r="T24" s="29"/>
      <c r="V24" s="37"/>
      <c r="W24" s="26"/>
      <c r="X24" s="16"/>
      <c r="Z24" s="18"/>
      <c r="AA24" s="29"/>
      <c r="AC24" s="37"/>
      <c r="AD24" s="26"/>
      <c r="AE24" s="16"/>
      <c r="AG24" s="18"/>
      <c r="AH24" s="29"/>
      <c r="AJ24" s="37"/>
      <c r="AK24" s="26"/>
      <c r="AL24" s="16"/>
      <c r="AN24" s="18"/>
      <c r="AO24" s="29"/>
      <c r="AP24" s="36"/>
      <c r="AQ24" s="37"/>
      <c r="AR24" s="16"/>
      <c r="AS24" s="26"/>
    </row>
    <row r="25" spans="1:45" ht="15" thickBot="1" x14ac:dyDescent="0.35">
      <c r="A25" s="39" t="s">
        <v>24</v>
      </c>
      <c r="B25" s="40"/>
      <c r="C25" s="41">
        <f>+C21-C23</f>
        <v>4361726.5199999996</v>
      </c>
      <c r="D25" s="42"/>
      <c r="E25" s="43">
        <f>+(C21/C23)-1</f>
        <v>0.8404100579614866</v>
      </c>
      <c r="F25" s="41">
        <f>+F21-F23</f>
        <v>-545423.27000000142</v>
      </c>
      <c r="G25" s="42"/>
      <c r="H25" s="43">
        <f>+(F21/F23)-1</f>
        <v>-8.4249996176937403E-2</v>
      </c>
      <c r="I25" s="40"/>
      <c r="J25" s="41">
        <f>+J21-J23</f>
        <v>16263357.27</v>
      </c>
      <c r="K25" s="42"/>
      <c r="L25" s="43">
        <f>+(J21/J23)-1</f>
        <v>2.5094416024892965</v>
      </c>
      <c r="M25" s="41">
        <f>+M21-M23</f>
        <v>5601169.6400000006</v>
      </c>
      <c r="N25" s="42"/>
      <c r="O25" s="43">
        <f>+(M21/M23)-1</f>
        <v>1.2029205192352999</v>
      </c>
      <c r="P25" s="40"/>
      <c r="Q25" s="41">
        <f>+Q21-Q23</f>
        <v>6509294.870000001</v>
      </c>
      <c r="R25" s="42"/>
      <c r="S25" s="43">
        <f>+(Q21/Q23)-1</f>
        <v>1.3013142438575214</v>
      </c>
      <c r="T25" s="41">
        <f>+T21-T23</f>
        <v>1986326.7400000002</v>
      </c>
      <c r="U25" s="42"/>
      <c r="V25" s="43">
        <f>+(T21/T23)-1</f>
        <v>0.40140868848251654</v>
      </c>
      <c r="W25" s="40"/>
      <c r="X25" s="41">
        <f>+X21-X23</f>
        <v>2817671.75</v>
      </c>
      <c r="Y25" s="42"/>
      <c r="Z25" s="43">
        <f>+(X21/X23)-1</f>
        <v>0.48926347024756178</v>
      </c>
      <c r="AA25" s="41">
        <f>+AA21-AA23</f>
        <v>4800084.1099999994</v>
      </c>
      <c r="AB25" s="42"/>
      <c r="AC25" s="104">
        <f>+(AA21/AA23)-1</f>
        <v>0.89714440388882855</v>
      </c>
      <c r="AD25" s="40"/>
      <c r="AE25" s="41">
        <f>+AE21-AE23</f>
        <v>-28833550.259999998</v>
      </c>
      <c r="AF25" s="42"/>
      <c r="AG25" s="43">
        <f>+(AE21/AE23)-1</f>
        <v>-0.8216665238022558</v>
      </c>
      <c r="AH25" s="41">
        <f>+AH21-AH23</f>
        <v>-35905740.880000003</v>
      </c>
      <c r="AI25" s="42"/>
      <c r="AJ25" s="43">
        <f>+(AH21/AH23)-1</f>
        <v>-0.77339707001749514</v>
      </c>
      <c r="AK25" s="40"/>
      <c r="AL25" s="41">
        <f>+AL21-AL23</f>
        <v>1118500.1499999985</v>
      </c>
      <c r="AM25" s="42"/>
      <c r="AN25" s="43">
        <f>+(AL21/AL23)-1</f>
        <v>1.9444225355290667E-2</v>
      </c>
      <c r="AO25" s="41">
        <f>+AO21-AO23</f>
        <v>-24063583.659999996</v>
      </c>
      <c r="AP25" s="42"/>
      <c r="AQ25" s="43">
        <f>+(AO21/AO23)-1</f>
        <v>-0.35463253632968428</v>
      </c>
      <c r="AR25" s="75"/>
      <c r="AS25" s="76"/>
    </row>
    <row r="27" spans="1:45" x14ac:dyDescent="0.3">
      <c r="D27" s="44"/>
      <c r="F27" s="46">
        <v>5928443.7400000002</v>
      </c>
      <c r="G27" s="46"/>
      <c r="H27" s="45"/>
      <c r="K27" s="44"/>
      <c r="M27" s="46">
        <v>10257478.65</v>
      </c>
      <c r="N27" s="46"/>
      <c r="O27" s="45"/>
      <c r="R27" s="44"/>
      <c r="T27" s="46">
        <v>6934716.75</v>
      </c>
      <c r="U27" s="46"/>
      <c r="V27" s="45"/>
      <c r="Y27" s="44"/>
      <c r="AA27" s="46">
        <v>10150487.109999999</v>
      </c>
      <c r="AB27" s="46"/>
      <c r="AC27" s="45"/>
      <c r="AF27" s="44"/>
      <c r="AH27" s="46">
        <v>10520270.119999999</v>
      </c>
      <c r="AI27" s="46"/>
      <c r="AJ27" s="45"/>
      <c r="AO27" s="46">
        <v>43791396.359999999</v>
      </c>
    </row>
    <row r="28" spans="1:45" x14ac:dyDescent="0.3">
      <c r="F28" s="46">
        <f>+F21-F27</f>
        <v>-1.0000001639127731E-2</v>
      </c>
      <c r="M28" s="46">
        <f>+M21-M27</f>
        <v>-9.9999997764825821E-3</v>
      </c>
      <c r="T28" s="46">
        <f>+T21-T27</f>
        <v>-9.9999997764825821E-3</v>
      </c>
      <c r="AA28" s="46">
        <f>+AA21-AA27</f>
        <v>0</v>
      </c>
      <c r="AH28" s="46">
        <f>+AH21-AH27</f>
        <v>0</v>
      </c>
      <c r="AO28" s="46">
        <f>+AO21-AO27</f>
        <v>-1.9999995827674866E-2</v>
      </c>
    </row>
    <row r="29" spans="1:45" x14ac:dyDescent="0.3">
      <c r="K29" s="44"/>
      <c r="R29" s="44"/>
      <c r="Y29" s="44"/>
      <c r="AF29" s="44"/>
    </row>
    <row r="30" spans="1:45" x14ac:dyDescent="0.3">
      <c r="A30" s="22"/>
      <c r="K30" s="44"/>
      <c r="R30" s="44"/>
      <c r="Y30" s="44"/>
      <c r="AF30" s="44"/>
    </row>
    <row r="31" spans="1:45" x14ac:dyDescent="0.3">
      <c r="A31" s="27"/>
      <c r="K31" s="44"/>
      <c r="R31" s="44"/>
      <c r="Y31" s="44"/>
      <c r="AF31" s="44"/>
    </row>
    <row r="32" spans="1:45" x14ac:dyDescent="0.3">
      <c r="A32" s="22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</sheetData>
  <pageMargins left="0.7" right="0.7" top="0.75" bottom="0.75" header="0.3" footer="0.3"/>
  <ignoredErrors>
    <ignoredError sqref="AG2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6A49-4AAC-4CF5-B996-F34B75A82A0B}">
  <dimension ref="A1:AL39"/>
  <sheetViews>
    <sheetView workbookViewId="0">
      <pane xSplit="1" ySplit="2" topLeftCell="W3" activePane="bottomRight" state="frozen"/>
      <selection pane="topRight" activeCell="B1" sqref="B1"/>
      <selection pane="bottomLeft" activeCell="A3" sqref="A3"/>
      <selection pane="bottomRight" activeCell="C21" sqref="C21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0.44140625" style="36" bestFit="1" customWidth="1"/>
    <col min="22" max="22" width="7.109375" style="36" bestFit="1" customWidth="1"/>
    <col min="23" max="23" width="11.44140625" style="44" bestFit="1" customWidth="1"/>
    <col min="24" max="24" width="12.88671875" style="44" bestFit="1" customWidth="1"/>
    <col min="25" max="25" width="10.44140625" bestFit="1" customWidth="1"/>
    <col min="26" max="26" width="7.109375" style="45" bestFit="1" customWidth="1"/>
    <col min="27" max="27" width="11.44140625" style="46" bestFit="1" customWidth="1"/>
    <col min="28" max="28" width="10.44140625" style="36" bestFit="1" customWidth="1"/>
    <col min="29" max="29" width="7.109375" style="36" bestFit="1" customWidth="1"/>
    <col min="30" max="32" width="11.44140625" bestFit="1" customWidth="1"/>
    <col min="33" max="33" width="7.77734375" customWidth="1"/>
    <col min="34" max="35" width="11.44140625" bestFit="1" customWidth="1"/>
    <col min="36" max="36" width="7.109375" bestFit="1" customWidth="1"/>
    <col min="37" max="37" width="11.44140625" bestFit="1" customWidth="1"/>
    <col min="38" max="38" width="10.44140625" bestFit="1" customWidth="1"/>
  </cols>
  <sheetData>
    <row r="1" spans="1:38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99"/>
      <c r="X1" s="100"/>
      <c r="Y1" s="101"/>
      <c r="Z1" s="102" t="s">
        <v>51</v>
      </c>
      <c r="AA1" s="100"/>
      <c r="AB1" s="101"/>
      <c r="AC1" s="103"/>
      <c r="AD1" s="66"/>
      <c r="AE1" s="67"/>
      <c r="AF1" s="68"/>
      <c r="AG1" s="69" t="s">
        <v>46</v>
      </c>
      <c r="AH1" s="67"/>
      <c r="AI1" s="68"/>
      <c r="AJ1" s="70"/>
      <c r="AK1" s="71"/>
      <c r="AL1" s="72"/>
    </row>
    <row r="2" spans="1:38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8" t="s">
        <v>2</v>
      </c>
      <c r="AE2" s="9" t="s">
        <v>3</v>
      </c>
      <c r="AF2" s="10" t="s">
        <v>4</v>
      </c>
      <c r="AG2" s="11" t="s">
        <v>5</v>
      </c>
      <c r="AH2" s="12" t="s">
        <v>6</v>
      </c>
      <c r="AI2" s="10" t="s">
        <v>7</v>
      </c>
      <c r="AJ2" s="13" t="s">
        <v>5</v>
      </c>
      <c r="AK2" s="73" t="s">
        <v>47</v>
      </c>
      <c r="AL2" s="74" t="s">
        <v>48</v>
      </c>
    </row>
    <row r="3" spans="1:38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6"/>
      <c r="Y3" s="17"/>
      <c r="Z3" s="18"/>
      <c r="AA3" s="19"/>
      <c r="AB3" s="20"/>
      <c r="AC3" s="21"/>
      <c r="AD3" s="15"/>
      <c r="AE3" s="15"/>
      <c r="AF3" s="77"/>
      <c r="AG3" s="18"/>
      <c r="AH3" s="19"/>
      <c r="AI3" s="20"/>
      <c r="AJ3" s="21"/>
      <c r="AK3" s="16"/>
      <c r="AL3" s="26"/>
    </row>
    <row r="4" spans="1:38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v>1338750</v>
      </c>
      <c r="X4" s="16">
        <v>350651.3</v>
      </c>
      <c r="Y4" s="24">
        <f>+X4-W4</f>
        <v>-988098.7</v>
      </c>
      <c r="Z4" s="18">
        <f>+X4/W4</f>
        <v>0.26192440709617182</v>
      </c>
      <c r="AA4" s="29">
        <v>439355.98</v>
      </c>
      <c r="AB4" s="25">
        <f>+AA4-W4</f>
        <v>-899394.02</v>
      </c>
      <c r="AC4" s="18">
        <f>+AA4/W4</f>
        <v>0.32818373856209149</v>
      </c>
      <c r="AD4" s="23">
        <f>+B4+I4+P4+W4</f>
        <v>5355000</v>
      </c>
      <c r="AE4" s="23">
        <f>+C4+J4+Q4+X4</f>
        <v>4139230.7800000003</v>
      </c>
      <c r="AF4" s="24">
        <f>+AE4-AD4</f>
        <v>-1215769.2199999997</v>
      </c>
      <c r="AG4" s="18">
        <f>+AE4/AD4</f>
        <v>0.77296559850606916</v>
      </c>
      <c r="AH4" s="16">
        <f>+F4+M4+T4+AA4</f>
        <v>3115411.11</v>
      </c>
      <c r="AI4" s="25">
        <f>+AH4-AD4</f>
        <v>-2239588.89</v>
      </c>
      <c r="AJ4" s="18">
        <f>+AH4/AD4</f>
        <v>0.58177611764705883</v>
      </c>
      <c r="AK4" s="16">
        <f>+AE4/4</f>
        <v>1034807.6950000001</v>
      </c>
      <c r="AL4" s="26">
        <f>+AH4/4</f>
        <v>778852.77749999997</v>
      </c>
    </row>
    <row r="5" spans="1:38" x14ac:dyDescent="0.3">
      <c r="A5" s="22" t="s">
        <v>9</v>
      </c>
      <c r="B5" s="23"/>
      <c r="C5" s="16"/>
      <c r="D5" s="24">
        <f t="shared" ref="D5:D18" si="0">+C5-B5</f>
        <v>0</v>
      </c>
      <c r="E5" s="18"/>
      <c r="F5" s="28"/>
      <c r="G5" s="25">
        <f t="shared" ref="G5:G18" si="1">+F5-B5</f>
        <v>0</v>
      </c>
      <c r="H5" s="18"/>
      <c r="I5" s="23"/>
      <c r="J5" s="16"/>
      <c r="K5" s="24">
        <f t="shared" ref="K5:K18" si="2">+J5-I5</f>
        <v>0</v>
      </c>
      <c r="L5" s="18"/>
      <c r="M5" s="28"/>
      <c r="N5" s="25">
        <f t="shared" ref="N5:N12" si="3">+M5-I5</f>
        <v>0</v>
      </c>
      <c r="O5" s="18"/>
      <c r="P5" s="23"/>
      <c r="Q5" s="16">
        <v>333.62</v>
      </c>
      <c r="R5" s="24">
        <f t="shared" ref="R5:R18" si="4">+Q5-P5</f>
        <v>333.62</v>
      </c>
      <c r="S5" s="18"/>
      <c r="T5" s="28"/>
      <c r="U5" s="25">
        <f t="shared" ref="U5:U12" si="5">+T5-P5</f>
        <v>0</v>
      </c>
      <c r="V5" s="18"/>
      <c r="W5" s="23"/>
      <c r="X5" s="16"/>
      <c r="Y5" s="24">
        <f t="shared" ref="Y5:Y18" si="6">+X5-W5</f>
        <v>0</v>
      </c>
      <c r="Z5" s="18"/>
      <c r="AA5" s="28"/>
      <c r="AB5" s="25">
        <f t="shared" ref="AB5:AB12" si="7">+AA5-W5</f>
        <v>0</v>
      </c>
      <c r="AC5" s="18"/>
      <c r="AD5" s="23">
        <f t="shared" ref="AD5:AD19" si="8">+B5+I5+P5+W5</f>
        <v>0</v>
      </c>
      <c r="AE5" s="23">
        <f t="shared" ref="AE5:AE19" si="9">+C5+J5+Q5+X5</f>
        <v>333.62</v>
      </c>
      <c r="AF5" s="24">
        <f t="shared" ref="AF5:AF19" si="10">+AE5-AD5</f>
        <v>333.62</v>
      </c>
      <c r="AG5" s="18"/>
      <c r="AH5" s="16">
        <f t="shared" ref="AH5:AH19" si="11">+F5+M5+T5+AA5</f>
        <v>0</v>
      </c>
      <c r="AI5" s="25">
        <f t="shared" ref="AI5:AI19" si="12">+AH5-AD5</f>
        <v>0</v>
      </c>
      <c r="AJ5" s="18"/>
      <c r="AK5" s="16">
        <f t="shared" ref="AK5:AK19" si="13">+AE5/4</f>
        <v>83.405000000000001</v>
      </c>
      <c r="AL5" s="26">
        <f t="shared" ref="AL5:AL19" si="14">+AH5/4</f>
        <v>0</v>
      </c>
    </row>
    <row r="6" spans="1:38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2" si="15">+C6/B6</f>
        <v>1.5115234571428571</v>
      </c>
      <c r="F6" s="28">
        <v>733269.34</v>
      </c>
      <c r="G6" s="25">
        <f t="shared" si="1"/>
        <v>383269.33999999997</v>
      </c>
      <c r="H6" s="47">
        <f t="shared" ref="H6:H18" si="16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2" si="17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2" si="18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2" si="19">+Q6/P6</f>
        <v>0.17456677777777779</v>
      </c>
      <c r="T6" s="28">
        <v>92549.31</v>
      </c>
      <c r="U6" s="25">
        <f t="shared" si="5"/>
        <v>-357450.69</v>
      </c>
      <c r="V6" s="18">
        <f t="shared" ref="V6:V12" si="20">+T6/P6</f>
        <v>0.20566513333333333</v>
      </c>
      <c r="W6" s="26">
        <v>500000</v>
      </c>
      <c r="X6" s="16">
        <v>222623.04</v>
      </c>
      <c r="Y6" s="24">
        <f t="shared" si="6"/>
        <v>-277376.95999999996</v>
      </c>
      <c r="Z6" s="18">
        <f t="shared" ref="Z6:Z12" si="21">+X6/W6</f>
        <v>0.44524607999999999</v>
      </c>
      <c r="AA6" s="28">
        <v>249803.76</v>
      </c>
      <c r="AB6" s="25">
        <f t="shared" si="7"/>
        <v>-250196.24</v>
      </c>
      <c r="AC6" s="18">
        <f t="shared" ref="AC6:AC12" si="22">+AA6/W6</f>
        <v>0.49960752000000003</v>
      </c>
      <c r="AD6" s="23">
        <f t="shared" si="8"/>
        <v>1700000</v>
      </c>
      <c r="AE6" s="23">
        <f t="shared" si="9"/>
        <v>1357035.61</v>
      </c>
      <c r="AF6" s="24">
        <f t="shared" si="10"/>
        <v>-342964.3899999999</v>
      </c>
      <c r="AG6" s="18">
        <f t="shared" ref="AG6:AG18" si="23">+AE6/AD6</f>
        <v>0.79825624117647065</v>
      </c>
      <c r="AH6" s="29">
        <f t="shared" si="11"/>
        <v>1365505.69</v>
      </c>
      <c r="AI6" s="25">
        <f t="shared" si="12"/>
        <v>-334494.31000000006</v>
      </c>
      <c r="AJ6" s="18">
        <f t="shared" ref="AJ6:AJ18" si="24">+AH6/AD6</f>
        <v>0.80323864117647059</v>
      </c>
      <c r="AK6" s="16">
        <f t="shared" si="13"/>
        <v>339258.90250000003</v>
      </c>
      <c r="AL6" s="26">
        <f t="shared" si="14"/>
        <v>341376.42249999999</v>
      </c>
    </row>
    <row r="7" spans="1:38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15"/>
        <v>1.2200101967493584</v>
      </c>
      <c r="F7" s="98">
        <v>1033129.09</v>
      </c>
      <c r="G7" s="25">
        <f t="shared" si="1"/>
        <v>156379.08999999997</v>
      </c>
      <c r="H7" s="47">
        <f t="shared" si="16"/>
        <v>1.178362235528942</v>
      </c>
      <c r="I7" s="26">
        <v>876750</v>
      </c>
      <c r="J7" s="16">
        <v>1093963.29</v>
      </c>
      <c r="K7" s="24">
        <f t="shared" si="2"/>
        <v>217213.29000000004</v>
      </c>
      <c r="L7" s="47">
        <f t="shared" si="17"/>
        <v>1.2477482634730539</v>
      </c>
      <c r="M7" s="98">
        <v>1174515.3999999999</v>
      </c>
      <c r="N7" s="25">
        <f t="shared" si="3"/>
        <v>297765.39999999991</v>
      </c>
      <c r="O7" s="47">
        <f t="shared" si="18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19"/>
        <v>0.93849876247504993</v>
      </c>
      <c r="T7" s="28">
        <v>927646.45</v>
      </c>
      <c r="U7" s="25">
        <f t="shared" si="5"/>
        <v>50896.449999999953</v>
      </c>
      <c r="V7" s="47">
        <f t="shared" si="20"/>
        <v>1.0580512688907897</v>
      </c>
      <c r="W7" s="26">
        <v>876750</v>
      </c>
      <c r="X7" s="16">
        <v>745147.98</v>
      </c>
      <c r="Y7" s="24">
        <f t="shared" si="6"/>
        <v>-131602.02000000002</v>
      </c>
      <c r="Z7" s="18">
        <f t="shared" si="21"/>
        <v>0.84989789563729679</v>
      </c>
      <c r="AA7" s="28">
        <v>547733.80000000005</v>
      </c>
      <c r="AB7" s="25">
        <f t="shared" si="7"/>
        <v>-329016.19999999995</v>
      </c>
      <c r="AC7" s="18">
        <f t="shared" si="22"/>
        <v>0.62473202167094388</v>
      </c>
      <c r="AD7" s="23">
        <f t="shared" si="8"/>
        <v>3507000</v>
      </c>
      <c r="AE7" s="23">
        <f t="shared" si="9"/>
        <v>3731584</v>
      </c>
      <c r="AF7" s="24">
        <f t="shared" si="10"/>
        <v>224584</v>
      </c>
      <c r="AG7" s="47">
        <f t="shared" si="23"/>
        <v>1.0640387795836899</v>
      </c>
      <c r="AH7" s="29">
        <f t="shared" si="11"/>
        <v>3683024.7399999993</v>
      </c>
      <c r="AI7" s="25">
        <f t="shared" si="12"/>
        <v>176024.73999999929</v>
      </c>
      <c r="AJ7" s="47">
        <f t="shared" si="24"/>
        <v>1.0501923980610206</v>
      </c>
      <c r="AK7" s="16">
        <f t="shared" si="13"/>
        <v>932896</v>
      </c>
      <c r="AL7" s="26">
        <f t="shared" si="14"/>
        <v>920756.18499999982</v>
      </c>
    </row>
    <row r="8" spans="1:38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15"/>
        <v>0.35595089999999996</v>
      </c>
      <c r="F8" s="28">
        <v>19135.27</v>
      </c>
      <c r="G8" s="25">
        <f t="shared" si="1"/>
        <v>-80864.73</v>
      </c>
      <c r="H8" s="18">
        <f t="shared" si="16"/>
        <v>0.19135270000000001</v>
      </c>
      <c r="I8" s="26">
        <v>150000</v>
      </c>
      <c r="J8" s="16">
        <v>173409.83</v>
      </c>
      <c r="K8" s="24">
        <f t="shared" si="2"/>
        <v>23409.829999999987</v>
      </c>
      <c r="L8" s="47">
        <f t="shared" si="17"/>
        <v>1.1560655333333332</v>
      </c>
      <c r="M8" s="28">
        <v>302930.28999999998</v>
      </c>
      <c r="N8" s="25">
        <f t="shared" si="3"/>
        <v>152930.28999999998</v>
      </c>
      <c r="O8" s="47">
        <f t="shared" si="18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19"/>
        <v>1.2518899999999999</v>
      </c>
      <c r="T8" s="28">
        <v>183223.25</v>
      </c>
      <c r="U8" s="25">
        <f t="shared" si="5"/>
        <v>-16776.75</v>
      </c>
      <c r="V8" s="18">
        <f t="shared" si="20"/>
        <v>0.91611624999999997</v>
      </c>
      <c r="W8" s="26">
        <v>250000</v>
      </c>
      <c r="X8" s="16">
        <v>307660.15000000002</v>
      </c>
      <c r="Y8" s="24">
        <f t="shared" si="6"/>
        <v>57660.150000000023</v>
      </c>
      <c r="Z8" s="47">
        <f t="shared" si="21"/>
        <v>1.2306406000000001</v>
      </c>
      <c r="AA8" s="28">
        <v>413578.44</v>
      </c>
      <c r="AB8" s="25">
        <f t="shared" si="7"/>
        <v>163578.44</v>
      </c>
      <c r="AC8" s="47">
        <f t="shared" si="22"/>
        <v>1.65431376</v>
      </c>
      <c r="AD8" s="23">
        <f t="shared" si="8"/>
        <v>700000</v>
      </c>
      <c r="AE8" s="23">
        <f t="shared" si="9"/>
        <v>767043.07000000007</v>
      </c>
      <c r="AF8" s="24">
        <f t="shared" si="10"/>
        <v>67043.070000000065</v>
      </c>
      <c r="AG8" s="47">
        <f t="shared" si="23"/>
        <v>1.0957758142857144</v>
      </c>
      <c r="AH8" s="29">
        <f t="shared" si="11"/>
        <v>918867.25</v>
      </c>
      <c r="AI8" s="25">
        <f t="shared" si="12"/>
        <v>218867.25</v>
      </c>
      <c r="AJ8" s="47">
        <f t="shared" si="24"/>
        <v>1.3126675000000001</v>
      </c>
      <c r="AK8" s="16">
        <f t="shared" si="13"/>
        <v>191760.76750000002</v>
      </c>
      <c r="AL8" s="26">
        <f t="shared" si="14"/>
        <v>229716.8125</v>
      </c>
    </row>
    <row r="9" spans="1:38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15"/>
        <v>0</v>
      </c>
      <c r="F9" s="28"/>
      <c r="G9" s="25">
        <f t="shared" si="1"/>
        <v>-500000</v>
      </c>
      <c r="H9" s="18">
        <f t="shared" si="16"/>
        <v>0</v>
      </c>
      <c r="I9" s="26">
        <v>550000</v>
      </c>
      <c r="J9" s="16"/>
      <c r="K9" s="24">
        <f t="shared" si="2"/>
        <v>-550000</v>
      </c>
      <c r="L9" s="18">
        <f t="shared" si="17"/>
        <v>0</v>
      </c>
      <c r="M9" s="28"/>
      <c r="N9" s="25">
        <f t="shared" si="3"/>
        <v>-550000</v>
      </c>
      <c r="O9" s="18">
        <f t="shared" si="18"/>
        <v>0</v>
      </c>
      <c r="P9" s="26">
        <v>600000</v>
      </c>
      <c r="Q9" s="16"/>
      <c r="R9" s="24">
        <f t="shared" si="4"/>
        <v>-600000</v>
      </c>
      <c r="S9" s="18">
        <f t="shared" si="19"/>
        <v>0</v>
      </c>
      <c r="T9" s="28"/>
      <c r="U9" s="25">
        <f t="shared" si="5"/>
        <v>-600000</v>
      </c>
      <c r="V9" s="18">
        <f t="shared" si="20"/>
        <v>0</v>
      </c>
      <c r="W9" s="26">
        <v>650000</v>
      </c>
      <c r="X9" s="16">
        <v>98383.15</v>
      </c>
      <c r="Y9" s="24">
        <f t="shared" si="6"/>
        <v>-551616.85</v>
      </c>
      <c r="Z9" s="18">
        <f t="shared" si="21"/>
        <v>0.15135869230769231</v>
      </c>
      <c r="AA9" s="28">
        <v>82902.45</v>
      </c>
      <c r="AB9" s="25">
        <f t="shared" si="7"/>
        <v>-567097.55000000005</v>
      </c>
      <c r="AC9" s="18">
        <f t="shared" si="22"/>
        <v>0.12754223076923077</v>
      </c>
      <c r="AD9" s="23">
        <f t="shared" si="8"/>
        <v>2300000</v>
      </c>
      <c r="AE9" s="23">
        <f t="shared" si="9"/>
        <v>98383.15</v>
      </c>
      <c r="AF9" s="24">
        <f t="shared" si="10"/>
        <v>-2201616.85</v>
      </c>
      <c r="AG9" s="18">
        <f t="shared" si="23"/>
        <v>4.2775282608695647E-2</v>
      </c>
      <c r="AH9" s="29">
        <f t="shared" si="11"/>
        <v>82902.45</v>
      </c>
      <c r="AI9" s="25">
        <f t="shared" si="12"/>
        <v>-2217097.5499999998</v>
      </c>
      <c r="AJ9" s="18">
        <f t="shared" si="24"/>
        <v>3.6044543478260867E-2</v>
      </c>
      <c r="AK9" s="16">
        <f t="shared" si="13"/>
        <v>24595.787499999999</v>
      </c>
      <c r="AL9" s="26">
        <f t="shared" si="14"/>
        <v>20725.612499999999</v>
      </c>
    </row>
    <row r="10" spans="1:38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15"/>
        <v>0.53262757049486464</v>
      </c>
      <c r="F10" s="98">
        <v>722856.95</v>
      </c>
      <c r="G10" s="25">
        <f t="shared" si="1"/>
        <v>-615893.05000000005</v>
      </c>
      <c r="H10" s="18">
        <f t="shared" si="16"/>
        <v>0.5399491690009337</v>
      </c>
      <c r="I10" s="23">
        <v>1338750</v>
      </c>
      <c r="J10" s="16">
        <v>775015.59</v>
      </c>
      <c r="K10" s="24">
        <f t="shared" si="2"/>
        <v>-563734.41</v>
      </c>
      <c r="L10" s="18">
        <f t="shared" si="17"/>
        <v>0.57890987114845938</v>
      </c>
      <c r="M10" s="28">
        <v>628695.55000000005</v>
      </c>
      <c r="N10" s="25">
        <f t="shared" si="3"/>
        <v>-710054.45</v>
      </c>
      <c r="O10" s="18">
        <f t="shared" si="18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19"/>
        <v>1.1892632306255835</v>
      </c>
      <c r="T10" s="28">
        <v>386702.82</v>
      </c>
      <c r="U10" s="25">
        <f t="shared" si="5"/>
        <v>-952047.17999999993</v>
      </c>
      <c r="V10" s="18">
        <f t="shared" si="20"/>
        <v>0.28885364705882355</v>
      </c>
      <c r="W10" s="23">
        <v>1338750</v>
      </c>
      <c r="X10" s="16">
        <v>1583077.83</v>
      </c>
      <c r="Y10" s="24">
        <f t="shared" si="6"/>
        <v>244327.83000000007</v>
      </c>
      <c r="Z10" s="47">
        <f t="shared" si="21"/>
        <v>1.1825044481792717</v>
      </c>
      <c r="AA10" s="28">
        <v>2350431.59</v>
      </c>
      <c r="AB10" s="25">
        <f t="shared" si="7"/>
        <v>1011681.5899999999</v>
      </c>
      <c r="AC10" s="47">
        <f t="shared" si="22"/>
        <v>1.755691197012138</v>
      </c>
      <c r="AD10" s="23">
        <f t="shared" si="8"/>
        <v>5355000</v>
      </c>
      <c r="AE10" s="23">
        <f t="shared" si="9"/>
        <v>4663274.7300000004</v>
      </c>
      <c r="AF10" s="24">
        <f t="shared" si="10"/>
        <v>-691725.26999999955</v>
      </c>
      <c r="AG10" s="18">
        <f t="shared" si="23"/>
        <v>0.87082628011204488</v>
      </c>
      <c r="AH10" s="29">
        <f t="shared" si="11"/>
        <v>4088686.91</v>
      </c>
      <c r="AI10" s="25">
        <f t="shared" si="12"/>
        <v>-1266313.0899999999</v>
      </c>
      <c r="AJ10" s="18">
        <f t="shared" si="24"/>
        <v>0.76352696732026148</v>
      </c>
      <c r="AK10" s="16">
        <f t="shared" si="13"/>
        <v>1165818.6825000001</v>
      </c>
      <c r="AL10" s="26">
        <f t="shared" si="14"/>
        <v>1022171.7275</v>
      </c>
    </row>
    <row r="11" spans="1:38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15"/>
        <v>1.5186024201680672</v>
      </c>
      <c r="F11" s="28">
        <v>913371.96</v>
      </c>
      <c r="G11" s="25">
        <f t="shared" si="1"/>
        <v>-425378.04000000004</v>
      </c>
      <c r="H11" s="18">
        <f t="shared" si="16"/>
        <v>0.68225729971988791</v>
      </c>
      <c r="I11" s="23">
        <v>1338750</v>
      </c>
      <c r="J11" s="16">
        <v>1709262.17</v>
      </c>
      <c r="K11" s="24">
        <f t="shared" si="2"/>
        <v>370512.16999999993</v>
      </c>
      <c r="L11" s="47">
        <f t="shared" si="17"/>
        <v>1.2767597908496731</v>
      </c>
      <c r="M11" s="28">
        <v>365024.32</v>
      </c>
      <c r="N11" s="25">
        <f t="shared" si="3"/>
        <v>-973725.67999999993</v>
      </c>
      <c r="O11" s="18">
        <f t="shared" si="18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19"/>
        <v>0.45679382259570495</v>
      </c>
      <c r="T11" s="28">
        <v>615830.28</v>
      </c>
      <c r="U11" s="25">
        <f t="shared" si="5"/>
        <v>-722919.72</v>
      </c>
      <c r="V11" s="18">
        <f t="shared" si="20"/>
        <v>0.46000394397759103</v>
      </c>
      <c r="W11" s="23">
        <v>1338750</v>
      </c>
      <c r="X11" s="16">
        <v>368851.46</v>
      </c>
      <c r="Y11" s="24">
        <f t="shared" si="6"/>
        <v>-969898.54</v>
      </c>
      <c r="Z11" s="18">
        <f t="shared" si="21"/>
        <v>0.27551929785247437</v>
      </c>
      <c r="AA11" s="28">
        <v>384682.4</v>
      </c>
      <c r="AB11" s="25">
        <f t="shared" si="7"/>
        <v>-954067.6</v>
      </c>
      <c r="AC11" s="18">
        <f t="shared" si="22"/>
        <v>0.28734446311858081</v>
      </c>
      <c r="AD11" s="23">
        <f t="shared" si="8"/>
        <v>5355000</v>
      </c>
      <c r="AE11" s="23">
        <f t="shared" si="9"/>
        <v>4722675.3500000006</v>
      </c>
      <c r="AF11" s="24">
        <f t="shared" si="10"/>
        <v>-632324.64999999944</v>
      </c>
      <c r="AG11" s="18">
        <f t="shared" si="23"/>
        <v>0.88191883286647998</v>
      </c>
      <c r="AH11" s="29">
        <f t="shared" si="11"/>
        <v>2278908.96</v>
      </c>
      <c r="AI11" s="25">
        <f t="shared" si="12"/>
        <v>-3076091.04</v>
      </c>
      <c r="AJ11" s="18">
        <f t="shared" si="24"/>
        <v>0.42556656582633051</v>
      </c>
      <c r="AK11" s="16">
        <f t="shared" si="13"/>
        <v>1180668.8375000001</v>
      </c>
      <c r="AL11" s="26">
        <f t="shared" si="14"/>
        <v>569727.24</v>
      </c>
    </row>
    <row r="12" spans="1:38" x14ac:dyDescent="0.3">
      <c r="A12" s="22" t="s">
        <v>16</v>
      </c>
      <c r="B12" s="23">
        <v>1338750</v>
      </c>
      <c r="C12" s="16"/>
      <c r="D12" s="24">
        <f t="shared" si="0"/>
        <v>-1338750</v>
      </c>
      <c r="E12" s="18">
        <f t="shared" si="15"/>
        <v>0</v>
      </c>
      <c r="F12" s="28"/>
      <c r="G12" s="25">
        <f t="shared" si="1"/>
        <v>-1338750</v>
      </c>
      <c r="H12" s="18">
        <f t="shared" si="16"/>
        <v>0</v>
      </c>
      <c r="I12" s="23">
        <v>1338750</v>
      </c>
      <c r="J12" s="16">
        <v>8745.0499999999993</v>
      </c>
      <c r="K12" s="24">
        <f t="shared" si="2"/>
        <v>-1330004.95</v>
      </c>
      <c r="L12" s="18">
        <f t="shared" si="17"/>
        <v>6.5322502334267032E-3</v>
      </c>
      <c r="M12" s="28">
        <v>11537.74</v>
      </c>
      <c r="N12" s="25">
        <f t="shared" si="3"/>
        <v>-1327212.26</v>
      </c>
      <c r="O12" s="18">
        <f t="shared" si="18"/>
        <v>8.6182931839402423E-3</v>
      </c>
      <c r="P12" s="23">
        <v>1338750</v>
      </c>
      <c r="Q12" s="16">
        <v>120604.3</v>
      </c>
      <c r="R12" s="24">
        <f t="shared" si="4"/>
        <v>-1218145.7</v>
      </c>
      <c r="S12" s="18">
        <f t="shared" si="19"/>
        <v>9.0087245564892629E-2</v>
      </c>
      <c r="T12" s="28">
        <v>89914.14</v>
      </c>
      <c r="U12" s="25">
        <f t="shared" si="5"/>
        <v>-1248835.8600000001</v>
      </c>
      <c r="V12" s="18">
        <f t="shared" si="20"/>
        <v>6.7162756302521012E-2</v>
      </c>
      <c r="W12" s="23">
        <v>1338750</v>
      </c>
      <c r="X12" s="16">
        <v>51094.76</v>
      </c>
      <c r="Y12" s="24">
        <f t="shared" si="6"/>
        <v>-1287655.24</v>
      </c>
      <c r="Z12" s="18">
        <f t="shared" si="21"/>
        <v>3.8166020541549953E-2</v>
      </c>
      <c r="AA12" s="28"/>
      <c r="AB12" s="25">
        <f t="shared" si="7"/>
        <v>-1338750</v>
      </c>
      <c r="AC12" s="18">
        <f t="shared" si="22"/>
        <v>0</v>
      </c>
      <c r="AD12" s="23">
        <f t="shared" si="8"/>
        <v>5355000</v>
      </c>
      <c r="AE12" s="23">
        <f t="shared" si="9"/>
        <v>180444.11000000002</v>
      </c>
      <c r="AF12" s="24">
        <f t="shared" si="10"/>
        <v>-5174555.8899999997</v>
      </c>
      <c r="AG12" s="18">
        <f t="shared" si="23"/>
        <v>3.3696379084967323E-2</v>
      </c>
      <c r="AH12" s="16">
        <f t="shared" si="11"/>
        <v>101451.88</v>
      </c>
      <c r="AI12" s="25">
        <f t="shared" si="12"/>
        <v>-5253548.12</v>
      </c>
      <c r="AJ12" s="18">
        <f t="shared" si="24"/>
        <v>1.8945262371615312E-2</v>
      </c>
      <c r="AK12" s="16">
        <f t="shared" si="13"/>
        <v>45111.027500000004</v>
      </c>
      <c r="AL12" s="26">
        <f t="shared" si="14"/>
        <v>25362.97</v>
      </c>
    </row>
    <row r="13" spans="1:38" x14ac:dyDescent="0.3">
      <c r="A13" s="22" t="s">
        <v>17</v>
      </c>
      <c r="B13" s="23"/>
      <c r="C13" s="16">
        <v>87046.92</v>
      </c>
      <c r="D13" s="24">
        <f t="shared" si="0"/>
        <v>87046.92</v>
      </c>
      <c r="E13" s="18"/>
      <c r="F13" s="28"/>
      <c r="G13" s="25">
        <f>+F13-B13</f>
        <v>0</v>
      </c>
      <c r="H13" s="18"/>
      <c r="I13" s="23"/>
      <c r="J13" s="16">
        <v>115746.49</v>
      </c>
      <c r="K13" s="24">
        <f t="shared" si="2"/>
        <v>115746.49</v>
      </c>
      <c r="L13" s="18"/>
      <c r="M13" s="28"/>
      <c r="N13" s="25">
        <f>+M13-I13</f>
        <v>0</v>
      </c>
      <c r="O13" s="18"/>
      <c r="P13" s="23"/>
      <c r="Q13" s="16">
        <v>91092.4</v>
      </c>
      <c r="R13" s="24">
        <f t="shared" si="4"/>
        <v>91092.4</v>
      </c>
      <c r="S13" s="18"/>
      <c r="T13" s="28"/>
      <c r="U13" s="25">
        <f>+T13-P13</f>
        <v>0</v>
      </c>
      <c r="V13" s="18"/>
      <c r="W13" s="23"/>
      <c r="X13" s="16"/>
      <c r="Y13" s="24">
        <f t="shared" si="6"/>
        <v>0</v>
      </c>
      <c r="Z13" s="18"/>
      <c r="AA13" s="28"/>
      <c r="AB13" s="25">
        <f>+AA13-W13</f>
        <v>0</v>
      </c>
      <c r="AC13" s="18"/>
      <c r="AD13" s="23">
        <f t="shared" si="8"/>
        <v>0</v>
      </c>
      <c r="AE13" s="23">
        <f t="shared" si="9"/>
        <v>293885.81</v>
      </c>
      <c r="AF13" s="24">
        <f t="shared" si="10"/>
        <v>293885.81</v>
      </c>
      <c r="AG13" s="18"/>
      <c r="AH13" s="16">
        <f t="shared" si="11"/>
        <v>0</v>
      </c>
      <c r="AI13" s="25">
        <f t="shared" si="12"/>
        <v>0</v>
      </c>
      <c r="AJ13" s="18"/>
      <c r="AK13" s="16">
        <f t="shared" si="13"/>
        <v>73471.452499999999</v>
      </c>
      <c r="AL13" s="26">
        <f t="shared" si="14"/>
        <v>0</v>
      </c>
    </row>
    <row r="14" spans="1:38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8" si="25">+C14/B14</f>
        <v>4.5798640522875821E-2</v>
      </c>
      <c r="F14" s="28">
        <v>100067.31</v>
      </c>
      <c r="G14" s="25">
        <f t="shared" si="1"/>
        <v>-1238682.69</v>
      </c>
      <c r="H14" s="18">
        <f t="shared" si="16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ref="L14:L18" si="26">+J14/I14</f>
        <v>0.14859651914098973</v>
      </c>
      <c r="M14" s="28">
        <v>70010.070000000007</v>
      </c>
      <c r="N14" s="25">
        <f t="shared" ref="N14:N18" si="27">+M14-I14</f>
        <v>-1268739.93</v>
      </c>
      <c r="O14" s="18">
        <f t="shared" ref="O14:O18" si="28">+M14/I14</f>
        <v>5.2295103641456585E-2</v>
      </c>
      <c r="P14" s="23">
        <v>1338750</v>
      </c>
      <c r="Q14" s="16">
        <v>292575.34999999998</v>
      </c>
      <c r="R14" s="24">
        <f t="shared" si="4"/>
        <v>-1046174.65</v>
      </c>
      <c r="S14" s="18">
        <f t="shared" ref="S14:S18" si="29">+Q14/P14</f>
        <v>0.21854367880485526</v>
      </c>
      <c r="T14" s="28">
        <v>315180.46999999997</v>
      </c>
      <c r="U14" s="25">
        <f t="shared" ref="U14:U18" si="30">+T14-P14</f>
        <v>-1023569.53</v>
      </c>
      <c r="V14" s="18">
        <f t="shared" ref="V14:V18" si="31">+T14/P14</f>
        <v>0.23542892250233424</v>
      </c>
      <c r="W14" s="23">
        <v>1338750</v>
      </c>
      <c r="X14" s="16">
        <v>573857.67000000004</v>
      </c>
      <c r="Y14" s="24">
        <f t="shared" si="6"/>
        <v>-764892.33</v>
      </c>
      <c r="Z14" s="18">
        <f t="shared" ref="Z14" si="32">+X14/W14</f>
        <v>0.42865185434173675</v>
      </c>
      <c r="AA14" s="28">
        <v>892424.57</v>
      </c>
      <c r="AB14" s="25">
        <f t="shared" ref="AB14:AB18" si="33">+AA14-W14</f>
        <v>-446325.43000000005</v>
      </c>
      <c r="AC14" s="18">
        <f t="shared" ref="AC14" si="34">+AA14/W14</f>
        <v>0.6666103230625583</v>
      </c>
      <c r="AD14" s="23">
        <f t="shared" si="8"/>
        <v>5355000</v>
      </c>
      <c r="AE14" s="23">
        <f t="shared" si="9"/>
        <v>1126679.54</v>
      </c>
      <c r="AF14" s="24">
        <f t="shared" si="10"/>
        <v>-4228320.46</v>
      </c>
      <c r="AG14" s="18">
        <f t="shared" si="23"/>
        <v>0.21039767320261438</v>
      </c>
      <c r="AH14" s="16">
        <f t="shared" si="11"/>
        <v>1377682.42</v>
      </c>
      <c r="AI14" s="25">
        <f t="shared" si="12"/>
        <v>-3977317.58</v>
      </c>
      <c r="AJ14" s="18">
        <f t="shared" si="24"/>
        <v>0.25727029318394024</v>
      </c>
      <c r="AK14" s="16">
        <f t="shared" si="13"/>
        <v>281669.88500000001</v>
      </c>
      <c r="AL14" s="26">
        <f t="shared" si="14"/>
        <v>344420.60499999998</v>
      </c>
    </row>
    <row r="15" spans="1:38" x14ac:dyDescent="0.3">
      <c r="A15" s="22" t="s">
        <v>19</v>
      </c>
      <c r="B15" s="23">
        <v>400000</v>
      </c>
      <c r="C15" s="16">
        <v>29901.71</v>
      </c>
      <c r="D15" s="24">
        <f t="shared" si="0"/>
        <v>-370098.29</v>
      </c>
      <c r="E15" s="18">
        <f t="shared" si="25"/>
        <v>7.4754274999999995E-2</v>
      </c>
      <c r="F15" s="28">
        <v>24830.18</v>
      </c>
      <c r="G15" s="25">
        <f t="shared" si="1"/>
        <v>-375169.82</v>
      </c>
      <c r="H15" s="18">
        <f t="shared" si="16"/>
        <v>6.2075449999999997E-2</v>
      </c>
      <c r="I15" s="23">
        <v>450000</v>
      </c>
      <c r="J15" s="16">
        <v>17492.240000000002</v>
      </c>
      <c r="K15" s="24">
        <f t="shared" si="2"/>
        <v>-432507.76</v>
      </c>
      <c r="L15" s="18">
        <f t="shared" si="26"/>
        <v>3.887164444444445E-2</v>
      </c>
      <c r="M15" s="28">
        <v>17490.080000000002</v>
      </c>
      <c r="N15" s="25">
        <f t="shared" si="27"/>
        <v>-432509.92</v>
      </c>
      <c r="O15" s="18">
        <f t="shared" si="28"/>
        <v>3.8866844444444451E-2</v>
      </c>
      <c r="P15" s="23"/>
      <c r="Q15" s="16"/>
      <c r="R15" s="24">
        <f t="shared" si="4"/>
        <v>0</v>
      </c>
      <c r="S15" s="18"/>
      <c r="T15" s="28"/>
      <c r="U15" s="25">
        <f t="shared" si="30"/>
        <v>0</v>
      </c>
      <c r="V15" s="18"/>
      <c r="W15" s="23"/>
      <c r="X15" s="16"/>
      <c r="Y15" s="24">
        <f t="shared" si="6"/>
        <v>0</v>
      </c>
      <c r="Z15" s="18"/>
      <c r="AA15" s="28"/>
      <c r="AB15" s="25">
        <f t="shared" si="33"/>
        <v>0</v>
      </c>
      <c r="AC15" s="18"/>
      <c r="AD15" s="23">
        <f t="shared" si="8"/>
        <v>850000</v>
      </c>
      <c r="AE15" s="23">
        <f t="shared" si="9"/>
        <v>47393.95</v>
      </c>
      <c r="AF15" s="24">
        <f t="shared" si="10"/>
        <v>-802606.05</v>
      </c>
      <c r="AG15" s="18">
        <f t="shared" si="23"/>
        <v>5.5757588235294114E-2</v>
      </c>
      <c r="AH15" s="16">
        <f t="shared" si="11"/>
        <v>42320.26</v>
      </c>
      <c r="AI15" s="25">
        <f t="shared" si="12"/>
        <v>-807679.74</v>
      </c>
      <c r="AJ15" s="18">
        <f t="shared" si="24"/>
        <v>4.9788541176470594E-2</v>
      </c>
      <c r="AK15" s="16">
        <f t="shared" si="13"/>
        <v>11848.487499999999</v>
      </c>
      <c r="AL15" s="26">
        <f t="shared" si="14"/>
        <v>10580.065000000001</v>
      </c>
    </row>
    <row r="16" spans="1:38" x14ac:dyDescent="0.3">
      <c r="A16" s="22" t="s">
        <v>20</v>
      </c>
      <c r="B16" s="23">
        <v>1338750</v>
      </c>
      <c r="C16" s="16">
        <v>110791.25</v>
      </c>
      <c r="D16" s="24">
        <f t="shared" si="0"/>
        <v>-1227958.75</v>
      </c>
      <c r="E16" s="18">
        <f t="shared" si="25"/>
        <v>8.2757236227824466E-2</v>
      </c>
      <c r="F16" s="28">
        <v>136979.66</v>
      </c>
      <c r="G16" s="25">
        <f t="shared" si="1"/>
        <v>-1201770.3400000001</v>
      </c>
      <c r="H16" s="18">
        <f t="shared" si="16"/>
        <v>0.10231907376283847</v>
      </c>
      <c r="I16" s="23">
        <v>1338750</v>
      </c>
      <c r="J16" s="16">
        <v>78051.38</v>
      </c>
      <c r="K16" s="24">
        <f t="shared" si="2"/>
        <v>-1260698.6200000001</v>
      </c>
      <c r="L16" s="18">
        <f t="shared" si="26"/>
        <v>5.8301684407096176E-2</v>
      </c>
      <c r="M16" s="28">
        <v>40912.379999999997</v>
      </c>
      <c r="N16" s="25">
        <f t="shared" si="27"/>
        <v>-1297837.6200000001</v>
      </c>
      <c r="O16" s="18">
        <f t="shared" si="28"/>
        <v>3.0560134453781512E-2</v>
      </c>
      <c r="P16" s="23">
        <v>1338750</v>
      </c>
      <c r="Q16" s="16">
        <v>506672.98</v>
      </c>
      <c r="R16" s="24">
        <f t="shared" si="4"/>
        <v>-832077.02</v>
      </c>
      <c r="S16" s="18">
        <f t="shared" si="29"/>
        <v>0.37846721195144722</v>
      </c>
      <c r="T16" s="28">
        <v>952568.93</v>
      </c>
      <c r="U16" s="25">
        <f t="shared" si="30"/>
        <v>-386181.06999999995</v>
      </c>
      <c r="V16" s="18">
        <f t="shared" si="31"/>
        <v>0.7115360821661999</v>
      </c>
      <c r="W16" s="23">
        <v>1338750</v>
      </c>
      <c r="X16" s="16">
        <v>1183557.54</v>
      </c>
      <c r="Y16" s="24">
        <f t="shared" si="6"/>
        <v>-155192.45999999996</v>
      </c>
      <c r="Z16" s="18">
        <f t="shared" ref="Z16:Z18" si="35">+X16/W16</f>
        <v>0.88407659383753501</v>
      </c>
      <c r="AA16" s="28">
        <v>1645624.27</v>
      </c>
      <c r="AB16" s="25">
        <f t="shared" si="33"/>
        <v>306874.27</v>
      </c>
      <c r="AC16" s="47">
        <f t="shared" ref="AC16:AC18" si="36">+AA16/W16</f>
        <v>1.2292244780578898</v>
      </c>
      <c r="AD16" s="23">
        <f t="shared" si="8"/>
        <v>5355000</v>
      </c>
      <c r="AE16" s="23">
        <f t="shared" si="9"/>
        <v>1879073.15</v>
      </c>
      <c r="AF16" s="24">
        <f t="shared" si="10"/>
        <v>-3475926.85</v>
      </c>
      <c r="AG16" s="18">
        <f t="shared" si="23"/>
        <v>0.35090068160597571</v>
      </c>
      <c r="AH16" s="16">
        <f t="shared" si="11"/>
        <v>2776085.24</v>
      </c>
      <c r="AI16" s="25">
        <f t="shared" si="12"/>
        <v>-2578914.7599999998</v>
      </c>
      <c r="AJ16" s="18">
        <f t="shared" si="24"/>
        <v>0.51840994211017744</v>
      </c>
      <c r="AK16" s="16">
        <f t="shared" si="13"/>
        <v>469768.28749999998</v>
      </c>
      <c r="AL16" s="26">
        <f t="shared" si="14"/>
        <v>694021.31</v>
      </c>
    </row>
    <row r="17" spans="1:38" x14ac:dyDescent="0.3">
      <c r="A17" s="22" t="s">
        <v>21</v>
      </c>
      <c r="B17" s="23">
        <v>1338750</v>
      </c>
      <c r="C17" s="16">
        <v>2188130.21</v>
      </c>
      <c r="D17" s="24">
        <f t="shared" si="0"/>
        <v>849380.21</v>
      </c>
      <c r="E17" s="47">
        <f t="shared" si="25"/>
        <v>1.6344576732026144</v>
      </c>
      <c r="F17" s="29">
        <v>354566.78</v>
      </c>
      <c r="G17" s="25">
        <f t="shared" si="1"/>
        <v>-984183.22</v>
      </c>
      <c r="H17" s="18">
        <f t="shared" si="16"/>
        <v>0.26484913538748833</v>
      </c>
      <c r="I17" s="23">
        <v>1338750</v>
      </c>
      <c r="J17" s="16">
        <v>16172227.199999999</v>
      </c>
      <c r="K17" s="24">
        <f t="shared" si="2"/>
        <v>14833477.199999999</v>
      </c>
      <c r="L17" s="47">
        <f t="shared" si="26"/>
        <v>12.080095014005602</v>
      </c>
      <c r="M17" s="29">
        <v>5659626.5</v>
      </c>
      <c r="N17" s="25">
        <f t="shared" si="27"/>
        <v>4320876.5</v>
      </c>
      <c r="O17" s="47">
        <f t="shared" si="28"/>
        <v>4.2275454715219425</v>
      </c>
      <c r="P17" s="23">
        <v>1338750</v>
      </c>
      <c r="Q17" s="16">
        <v>5101264.1900000004</v>
      </c>
      <c r="R17" s="24">
        <f t="shared" si="4"/>
        <v>3762514.1900000004</v>
      </c>
      <c r="S17" s="47">
        <f t="shared" si="29"/>
        <v>3.8104681157796456</v>
      </c>
      <c r="T17" s="29">
        <v>1912503.15</v>
      </c>
      <c r="U17" s="25">
        <f t="shared" si="30"/>
        <v>573753.14999999991</v>
      </c>
      <c r="V17" s="47">
        <f t="shared" si="31"/>
        <v>1.4285737815126049</v>
      </c>
      <c r="W17" s="23">
        <v>1338750</v>
      </c>
      <c r="X17" s="16">
        <v>2461509.7799999998</v>
      </c>
      <c r="Y17" s="24">
        <f t="shared" si="6"/>
        <v>1122759.7799999998</v>
      </c>
      <c r="Z17" s="47">
        <f t="shared" si="35"/>
        <v>1.8386627675070026</v>
      </c>
      <c r="AA17" s="29">
        <v>3090938.76</v>
      </c>
      <c r="AB17" s="25">
        <f t="shared" si="33"/>
        <v>1752188.7599999998</v>
      </c>
      <c r="AC17" s="47">
        <f t="shared" si="36"/>
        <v>2.308824470588235</v>
      </c>
      <c r="AD17" s="23">
        <f t="shared" si="8"/>
        <v>5355000</v>
      </c>
      <c r="AE17" s="23">
        <f t="shared" si="9"/>
        <v>25923131.380000003</v>
      </c>
      <c r="AF17" s="24">
        <f t="shared" si="10"/>
        <v>20568131.380000003</v>
      </c>
      <c r="AG17" s="47">
        <f t="shared" si="23"/>
        <v>4.8409208926237168</v>
      </c>
      <c r="AH17" s="16">
        <f t="shared" si="11"/>
        <v>11017635.189999999</v>
      </c>
      <c r="AI17" s="25">
        <f t="shared" si="12"/>
        <v>5662635.1899999995</v>
      </c>
      <c r="AJ17" s="47">
        <f t="shared" si="24"/>
        <v>2.0574482147525677</v>
      </c>
      <c r="AK17" s="16">
        <f t="shared" si="13"/>
        <v>6480782.8450000007</v>
      </c>
      <c r="AL17" s="26">
        <f t="shared" si="14"/>
        <v>2754408.7974999999</v>
      </c>
    </row>
    <row r="18" spans="1:38" x14ac:dyDescent="0.3">
      <c r="A18" s="22" t="s">
        <v>22</v>
      </c>
      <c r="B18" s="23">
        <v>500000</v>
      </c>
      <c r="C18" s="16">
        <v>552980.43000000005</v>
      </c>
      <c r="D18" s="24">
        <f t="shared" si="0"/>
        <v>52980.430000000051</v>
      </c>
      <c r="E18" s="47">
        <f t="shared" si="25"/>
        <v>1.1059608600000002</v>
      </c>
      <c r="F18" s="29">
        <v>551981.43000000005</v>
      </c>
      <c r="G18" s="25">
        <f t="shared" si="1"/>
        <v>51981.430000000051</v>
      </c>
      <c r="H18" s="47">
        <f t="shared" si="16"/>
        <v>1.1039628600000002</v>
      </c>
      <c r="I18" s="23">
        <v>550000</v>
      </c>
      <c r="J18" s="16">
        <v>1283683.3700000001</v>
      </c>
      <c r="K18" s="24">
        <f t="shared" si="2"/>
        <v>733683.37000000011</v>
      </c>
      <c r="L18" s="47">
        <f t="shared" si="26"/>
        <v>2.3339697636363637</v>
      </c>
      <c r="M18" s="29">
        <v>1508451.15</v>
      </c>
      <c r="N18" s="25">
        <f t="shared" si="27"/>
        <v>958451.14999999991</v>
      </c>
      <c r="O18" s="47">
        <f t="shared" si="28"/>
        <v>2.7426384545454545</v>
      </c>
      <c r="P18" s="23">
        <v>600000</v>
      </c>
      <c r="Q18" s="16">
        <v>884030.54</v>
      </c>
      <c r="R18" s="24">
        <f t="shared" si="4"/>
        <v>284030.54000000004</v>
      </c>
      <c r="S18" s="47">
        <f t="shared" si="29"/>
        <v>1.4733842333333333</v>
      </c>
      <c r="T18" s="29">
        <v>345604.95</v>
      </c>
      <c r="U18" s="25">
        <f t="shared" si="30"/>
        <v>-254395.05</v>
      </c>
      <c r="V18" s="18">
        <f t="shared" si="31"/>
        <v>0.57600825</v>
      </c>
      <c r="W18" s="23">
        <v>650000</v>
      </c>
      <c r="X18" s="16">
        <v>620234.69999999995</v>
      </c>
      <c r="Y18" s="24">
        <f t="shared" si="6"/>
        <v>-29765.300000000047</v>
      </c>
      <c r="Z18" s="18">
        <f t="shared" si="35"/>
        <v>0.95420723076923075</v>
      </c>
      <c r="AA18" s="29">
        <v>806317.78</v>
      </c>
      <c r="AB18" s="25">
        <f t="shared" si="33"/>
        <v>156317.78000000003</v>
      </c>
      <c r="AC18" s="47">
        <f t="shared" si="36"/>
        <v>1.2404888923076924</v>
      </c>
      <c r="AD18" s="23">
        <f t="shared" si="8"/>
        <v>2300000</v>
      </c>
      <c r="AE18" s="23">
        <f t="shared" si="9"/>
        <v>3340929.04</v>
      </c>
      <c r="AF18" s="24">
        <f t="shared" si="10"/>
        <v>1040929.04</v>
      </c>
      <c r="AG18" s="47">
        <f t="shared" si="23"/>
        <v>1.4525778434782608</v>
      </c>
      <c r="AH18" s="16">
        <f t="shared" si="11"/>
        <v>3212355.3100000005</v>
      </c>
      <c r="AI18" s="25">
        <f t="shared" si="12"/>
        <v>912355.31000000052</v>
      </c>
      <c r="AJ18" s="47">
        <f t="shared" si="24"/>
        <v>1.3966762217391306</v>
      </c>
      <c r="AK18" s="16">
        <f t="shared" si="13"/>
        <v>835232.26</v>
      </c>
      <c r="AL18" s="26">
        <f t="shared" si="14"/>
        <v>803088.82750000013</v>
      </c>
    </row>
    <row r="19" spans="1:38" x14ac:dyDescent="0.3">
      <c r="A19" s="22" t="s">
        <v>26</v>
      </c>
      <c r="B19" s="23"/>
      <c r="C19" s="16">
        <v>60669.83</v>
      </c>
      <c r="D19" s="24">
        <f>+C19-B19</f>
        <v>60669.83</v>
      </c>
      <c r="E19" s="18"/>
      <c r="F19" s="28">
        <v>74635.009999999995</v>
      </c>
      <c r="G19" s="25">
        <f>+F19-B19</f>
        <v>74635.009999999995</v>
      </c>
      <c r="H19" s="18"/>
      <c r="I19" s="23"/>
      <c r="J19" s="16">
        <f>327.32+8787.51</f>
        <v>9114.83</v>
      </c>
      <c r="K19" s="24">
        <f>+J19-I19</f>
        <v>9114.83</v>
      </c>
      <c r="L19" s="18"/>
      <c r="M19" s="28">
        <v>5256.55</v>
      </c>
      <c r="N19" s="25">
        <f>+M19-I19</f>
        <v>5256.55</v>
      </c>
      <c r="O19" s="18"/>
      <c r="P19" s="23"/>
      <c r="Q19" s="16">
        <v>33104.07</v>
      </c>
      <c r="R19" s="24">
        <f>+Q19-P19</f>
        <v>33104.07</v>
      </c>
      <c r="S19" s="18"/>
      <c r="T19" s="28">
        <v>23024.37</v>
      </c>
      <c r="U19" s="25">
        <f>+T19-P19</f>
        <v>23024.37</v>
      </c>
      <c r="V19" s="18"/>
      <c r="W19" s="23"/>
      <c r="X19" s="16">
        <v>10029.39</v>
      </c>
      <c r="Y19" s="24">
        <f>+X19-W19</f>
        <v>10029.39</v>
      </c>
      <c r="Z19" s="18"/>
      <c r="AA19" s="28">
        <v>16193.03</v>
      </c>
      <c r="AB19" s="25">
        <f>+AA19-W19</f>
        <v>16193.03</v>
      </c>
      <c r="AC19" s="18"/>
      <c r="AD19" s="23">
        <f t="shared" si="8"/>
        <v>0</v>
      </c>
      <c r="AE19" s="23">
        <f t="shared" si="9"/>
        <v>112918.12000000001</v>
      </c>
      <c r="AF19" s="24">
        <f t="shared" si="10"/>
        <v>112918.12000000001</v>
      </c>
      <c r="AG19" s="18"/>
      <c r="AH19" s="16">
        <f t="shared" si="11"/>
        <v>119108.95999999999</v>
      </c>
      <c r="AI19" s="25">
        <f t="shared" si="12"/>
        <v>119108.95999999999</v>
      </c>
      <c r="AJ19" s="18"/>
      <c r="AK19" s="16">
        <f t="shared" si="13"/>
        <v>28229.530000000002</v>
      </c>
      <c r="AL19" s="26">
        <f t="shared" si="14"/>
        <v>29777.239999999998</v>
      </c>
    </row>
    <row r="20" spans="1:38" ht="15" thickBot="1" x14ac:dyDescent="0.35">
      <c r="A20" s="22"/>
      <c r="B20" s="23"/>
      <c r="C20" s="16"/>
      <c r="D20" s="24"/>
      <c r="E20" s="30"/>
      <c r="F20" s="29"/>
      <c r="G20" s="25"/>
      <c r="H20" s="18"/>
      <c r="I20" s="23"/>
      <c r="J20" s="16"/>
      <c r="K20" s="24"/>
      <c r="L20" s="30"/>
      <c r="M20" s="29"/>
      <c r="N20" s="25"/>
      <c r="O20" s="18"/>
      <c r="P20" s="23"/>
      <c r="Q20" s="16"/>
      <c r="R20" s="24"/>
      <c r="S20" s="30"/>
      <c r="T20" s="29"/>
      <c r="U20" s="25"/>
      <c r="V20" s="18"/>
      <c r="W20" s="23"/>
      <c r="X20" s="16"/>
      <c r="Y20" s="24"/>
      <c r="Z20" s="30"/>
      <c r="AA20" s="29"/>
      <c r="AB20" s="25"/>
      <c r="AC20" s="18"/>
      <c r="AD20" s="78"/>
      <c r="AE20" s="78"/>
      <c r="AF20" s="79"/>
      <c r="AG20" s="80"/>
      <c r="AH20" s="78"/>
      <c r="AI20" s="81"/>
      <c r="AJ20" s="82"/>
      <c r="AK20" s="83"/>
      <c r="AL20" s="82"/>
    </row>
    <row r="21" spans="1:38" ht="15" thickBot="1" x14ac:dyDescent="0.35">
      <c r="A21" s="31" t="s">
        <v>23</v>
      </c>
      <c r="B21" s="32">
        <f>SUM(B4:B20)</f>
        <v>12098000</v>
      </c>
      <c r="C21" s="32">
        <f>SUM(C4:C20)</f>
        <v>9551724.5199999996</v>
      </c>
      <c r="D21" s="32">
        <f>SUM(D4:D20)</f>
        <v>-2546275.4799999995</v>
      </c>
      <c r="E21" s="33">
        <f>+C21/B21</f>
        <v>0.78952922135890224</v>
      </c>
      <c r="F21" s="32">
        <f>SUM(F4:F20)</f>
        <v>5933096.3599999985</v>
      </c>
      <c r="G21" s="32">
        <f>SUM(G4:G20)</f>
        <v>-6164903.6400000006</v>
      </c>
      <c r="H21" s="33">
        <f>+F21/B21</f>
        <v>0.49041960324020489</v>
      </c>
      <c r="I21" s="32">
        <f>SUM(I4:I20)</f>
        <v>12348000</v>
      </c>
      <c r="J21" s="32">
        <f>SUM(J4:J20)</f>
        <v>22744224.27</v>
      </c>
      <c r="K21" s="32">
        <f>SUM(K4:K20)</f>
        <v>10396224.270000001</v>
      </c>
      <c r="L21" s="91">
        <f>+J21/I21</f>
        <v>1.8419358819241982</v>
      </c>
      <c r="M21" s="32">
        <f>SUM(M4:M20)</f>
        <v>10257478.640000001</v>
      </c>
      <c r="N21" s="32">
        <f>SUM(N4:N20)</f>
        <v>-2090521.3599999996</v>
      </c>
      <c r="O21" s="90">
        <f>+M21/I21</f>
        <v>0.83069959831551676</v>
      </c>
      <c r="P21" s="32">
        <f>SUM(P4:P20)</f>
        <v>12098000</v>
      </c>
      <c r="Q21" s="32">
        <f>SUM(Q4:Q20)</f>
        <v>11511387.870000001</v>
      </c>
      <c r="R21" s="32">
        <f>SUM(R4:R20)</f>
        <v>-586612.12999999931</v>
      </c>
      <c r="S21" s="33">
        <f>+Q21/P21</f>
        <v>0.95151164407340061</v>
      </c>
      <c r="T21" s="32">
        <f>SUM(T4:T20)</f>
        <v>7069384.5399999991</v>
      </c>
      <c r="U21" s="32">
        <f>SUM(U4:U20)</f>
        <v>-5028615.4600000009</v>
      </c>
      <c r="V21" s="90">
        <f>+T21/P21</f>
        <v>0.58434324185815834</v>
      </c>
      <c r="W21" s="32">
        <f>SUM(W4:W20)</f>
        <v>12298000</v>
      </c>
      <c r="X21" s="32">
        <f>SUM(X4:X20)</f>
        <v>8576678.75</v>
      </c>
      <c r="Y21" s="32">
        <f>SUM(Y4:Y20)</f>
        <v>-3721321.2500000005</v>
      </c>
      <c r="Z21" s="33">
        <f>+X21/W21</f>
        <v>0.69740435436656367</v>
      </c>
      <c r="AA21" s="32">
        <f>SUM(AA4:AA20)</f>
        <v>10919986.829999998</v>
      </c>
      <c r="AB21" s="32">
        <f>SUM(AB4:AB20)</f>
        <v>-1378013.1700000004</v>
      </c>
      <c r="AC21" s="90">
        <f>+AA21/W21</f>
        <v>0.8879481891364448</v>
      </c>
      <c r="AD21" s="89">
        <f>SUM(AD4:AD19)</f>
        <v>48842000</v>
      </c>
      <c r="AE21" s="32">
        <f>SUM(AE4:AE19)</f>
        <v>52384015.409999996</v>
      </c>
      <c r="AF21" s="84">
        <f>+AE21-AD21</f>
        <v>3542015.4099999964</v>
      </c>
      <c r="AG21" s="92">
        <f>+AE21/AD21</f>
        <v>1.0725198683510093</v>
      </c>
      <c r="AH21" s="86">
        <f>SUM(AH4:AH19)</f>
        <v>34179946.370000005</v>
      </c>
      <c r="AI21" s="87">
        <f>+AH21-AD21</f>
        <v>-14662053.629999995</v>
      </c>
      <c r="AJ21" s="85">
        <f>+AH21/AD21</f>
        <v>0.69980644465828601</v>
      </c>
      <c r="AK21" s="86">
        <f>+AE21/4</f>
        <v>13096003.852499999</v>
      </c>
      <c r="AL21" s="88">
        <f>+AH21/4</f>
        <v>8544986.5925000012</v>
      </c>
    </row>
    <row r="22" spans="1:38" x14ac:dyDescent="0.3">
      <c r="A22" s="22"/>
      <c r="B22" s="23"/>
      <c r="C22" s="16"/>
      <c r="D22" s="34"/>
      <c r="E22" s="18"/>
      <c r="F22" s="29"/>
      <c r="G22" s="35"/>
      <c r="H22" s="18"/>
      <c r="I22" s="23"/>
      <c r="J22" s="16"/>
      <c r="K22" s="34"/>
      <c r="L22" s="18"/>
      <c r="M22" s="29"/>
      <c r="N22" s="35"/>
      <c r="O22" s="18"/>
      <c r="P22" s="23"/>
      <c r="Q22" s="16"/>
      <c r="R22" s="34"/>
      <c r="S22" s="18"/>
      <c r="T22" s="29"/>
      <c r="U22" s="35"/>
      <c r="V22" s="18"/>
      <c r="W22" s="23"/>
      <c r="X22" s="16"/>
      <c r="Y22" s="34"/>
      <c r="Z22" s="18"/>
      <c r="AA22" s="29"/>
      <c r="AB22" s="35"/>
      <c r="AC22" s="18"/>
      <c r="AD22" s="23"/>
      <c r="AE22" s="16"/>
      <c r="AF22" s="34"/>
      <c r="AG22" s="18"/>
      <c r="AH22" s="29"/>
      <c r="AI22" s="35"/>
      <c r="AJ22" s="18"/>
      <c r="AK22" s="16"/>
      <c r="AL22" s="26"/>
    </row>
    <row r="23" spans="1:38" x14ac:dyDescent="0.3">
      <c r="A23" s="22" t="s">
        <v>25</v>
      </c>
      <c r="B23" s="26"/>
      <c r="C23" s="16">
        <v>5189998</v>
      </c>
      <c r="E23" s="18"/>
      <c r="F23" s="29">
        <v>6473867</v>
      </c>
      <c r="H23" s="37"/>
      <c r="I23" s="26"/>
      <c r="J23" s="16">
        <v>6480867</v>
      </c>
      <c r="L23" s="18"/>
      <c r="M23" s="29">
        <v>4656309</v>
      </c>
      <c r="O23" s="37"/>
      <c r="P23" s="26"/>
      <c r="Q23" s="16">
        <v>5002093</v>
      </c>
      <c r="S23" s="18"/>
      <c r="T23" s="29">
        <v>4948390</v>
      </c>
      <c r="V23" s="37"/>
      <c r="W23" s="26"/>
      <c r="X23" s="16">
        <v>5759007</v>
      </c>
      <c r="Z23" s="18"/>
      <c r="AA23" s="29">
        <v>5350403</v>
      </c>
      <c r="AC23" s="37"/>
      <c r="AD23" s="26"/>
      <c r="AE23" s="16">
        <f>+C23+J23+Q23+X23</f>
        <v>22431965</v>
      </c>
      <c r="AG23" s="18"/>
      <c r="AH23" s="16">
        <f>+F23+M23+T23+AA23</f>
        <v>21428969</v>
      </c>
      <c r="AI23" s="36"/>
      <c r="AJ23" s="37"/>
      <c r="AK23" s="16">
        <f t="shared" ref="AK23" si="37">+AE23/4</f>
        <v>5607991.25</v>
      </c>
      <c r="AL23" s="26">
        <f t="shared" ref="AL23" si="38">+AH23/4</f>
        <v>5357242.25</v>
      </c>
    </row>
    <row r="24" spans="1:38" x14ac:dyDescent="0.3">
      <c r="A24" s="38"/>
      <c r="B24" s="26"/>
      <c r="C24" s="16"/>
      <c r="E24" s="18"/>
      <c r="F24" s="29"/>
      <c r="H24" s="37"/>
      <c r="I24" s="26"/>
      <c r="J24" s="16"/>
      <c r="L24" s="18"/>
      <c r="M24" s="29"/>
      <c r="O24" s="37"/>
      <c r="P24" s="26"/>
      <c r="Q24" s="16"/>
      <c r="S24" s="18"/>
      <c r="T24" s="29"/>
      <c r="V24" s="37"/>
      <c r="W24" s="26"/>
      <c r="X24" s="16"/>
      <c r="Z24" s="18"/>
      <c r="AA24" s="29"/>
      <c r="AC24" s="37"/>
      <c r="AD24" s="26"/>
      <c r="AE24" s="16"/>
      <c r="AG24" s="18"/>
      <c r="AH24" s="29"/>
      <c r="AI24" s="36"/>
      <c r="AJ24" s="37"/>
      <c r="AK24" s="16"/>
      <c r="AL24" s="26"/>
    </row>
    <row r="25" spans="1:38" ht="15" thickBot="1" x14ac:dyDescent="0.35">
      <c r="A25" s="39" t="s">
        <v>24</v>
      </c>
      <c r="B25" s="40"/>
      <c r="C25" s="41">
        <f>+C21-C23</f>
        <v>4361726.5199999996</v>
      </c>
      <c r="D25" s="42"/>
      <c r="E25" s="43">
        <f>+(C21/C23)-1</f>
        <v>0.8404100579614866</v>
      </c>
      <c r="F25" s="41">
        <f>+F21-F23</f>
        <v>-540770.64000000153</v>
      </c>
      <c r="G25" s="42"/>
      <c r="H25" s="43">
        <f>+(F21/F23)-1</f>
        <v>-8.3531317526294835E-2</v>
      </c>
      <c r="I25" s="40"/>
      <c r="J25" s="41">
        <f>+J21-J23</f>
        <v>16263357.27</v>
      </c>
      <c r="K25" s="42"/>
      <c r="L25" s="43">
        <f>+(J21/J23)-1</f>
        <v>2.5094416024892965</v>
      </c>
      <c r="M25" s="41">
        <f>+M21-M23</f>
        <v>5601169.6400000006</v>
      </c>
      <c r="N25" s="42"/>
      <c r="O25" s="43">
        <f>+(M21/M23)-1</f>
        <v>1.2029205192352999</v>
      </c>
      <c r="P25" s="40"/>
      <c r="Q25" s="41">
        <f>+Q21-Q23</f>
        <v>6509294.870000001</v>
      </c>
      <c r="R25" s="42"/>
      <c r="S25" s="43">
        <f>+(Q21/Q23)-1</f>
        <v>1.3013142438575214</v>
      </c>
      <c r="T25" s="41">
        <f>+T21-T23</f>
        <v>2120994.5399999991</v>
      </c>
      <c r="U25" s="42"/>
      <c r="V25" s="43">
        <f>+(T21/T23)-1</f>
        <v>0.42862315621848701</v>
      </c>
      <c r="W25" s="40"/>
      <c r="X25" s="41">
        <f>+X21-X23</f>
        <v>2817671.75</v>
      </c>
      <c r="Y25" s="42"/>
      <c r="Z25" s="43">
        <f>+(X21/X23)-1</f>
        <v>0.48926347024756178</v>
      </c>
      <c r="AA25" s="41">
        <f>+AA21-AA23</f>
        <v>5569583.8299999982</v>
      </c>
      <c r="AB25" s="42"/>
      <c r="AC25" s="104">
        <f>+(AA21/AA23)-1</f>
        <v>1.0409652936423663</v>
      </c>
      <c r="AD25" s="40"/>
      <c r="AE25" s="41">
        <f>+AE21-AE23</f>
        <v>29952050.409999996</v>
      </c>
      <c r="AF25" s="42"/>
      <c r="AG25" s="104">
        <f>+(AE21/AE23)-1</f>
        <v>1.3352397086033254</v>
      </c>
      <c r="AH25" s="41">
        <f>+AH21-AH23</f>
        <v>12750977.370000005</v>
      </c>
      <c r="AI25" s="42"/>
      <c r="AJ25" s="43">
        <f>+(AH21/AH23)-1</f>
        <v>0.59503457072526467</v>
      </c>
      <c r="AK25" s="75"/>
      <c r="AL25" s="76"/>
    </row>
    <row r="27" spans="1:38" x14ac:dyDescent="0.3">
      <c r="D27" s="44"/>
      <c r="F27" s="46">
        <v>5933096.3700000001</v>
      </c>
      <c r="G27" s="46"/>
      <c r="H27" s="45"/>
      <c r="K27" s="44"/>
      <c r="M27" s="46">
        <v>10257478.65</v>
      </c>
      <c r="N27" s="46"/>
      <c r="O27" s="45"/>
      <c r="R27" s="44"/>
      <c r="T27" s="46">
        <v>7069384.54</v>
      </c>
      <c r="U27" s="46"/>
      <c r="V27" s="45"/>
      <c r="Y27" s="44"/>
      <c r="AA27" s="46">
        <v>10919986.82</v>
      </c>
      <c r="AB27" s="46"/>
      <c r="AC27" s="45"/>
      <c r="AH27" s="46">
        <v>34179946.380000003</v>
      </c>
    </row>
    <row r="28" spans="1:38" x14ac:dyDescent="0.3">
      <c r="F28" s="46">
        <f>+F21-F27</f>
        <v>-1.0000001639127731E-2</v>
      </c>
      <c r="M28" s="46">
        <f>+M21-M27</f>
        <v>-9.9999997764825821E-3</v>
      </c>
      <c r="T28" s="46">
        <f>+T21-T27</f>
        <v>0</v>
      </c>
      <c r="AA28" s="46">
        <f>+AA21-AA27</f>
        <v>9.9999979138374329E-3</v>
      </c>
      <c r="AH28" s="46">
        <f>+AH21-AH27</f>
        <v>-9.9999979138374329E-3</v>
      </c>
    </row>
    <row r="29" spans="1:38" x14ac:dyDescent="0.3">
      <c r="K29" s="44"/>
      <c r="R29" s="44"/>
      <c r="Y29" s="44"/>
    </row>
    <row r="30" spans="1:38" x14ac:dyDescent="0.3">
      <c r="A30" s="22"/>
      <c r="K30" s="44"/>
      <c r="R30" s="44"/>
      <c r="Y30" s="44"/>
    </row>
    <row r="31" spans="1:38" x14ac:dyDescent="0.3">
      <c r="A31" s="27"/>
      <c r="K31" s="44"/>
      <c r="R31" s="44"/>
      <c r="Y31" s="44"/>
    </row>
    <row r="32" spans="1:38" x14ac:dyDescent="0.3">
      <c r="A32" s="22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</sheetData>
  <pageMargins left="0.7" right="0.7" top="0.75" bottom="0.75" header="0.3" footer="0.3"/>
  <pageSetup orientation="portrait" r:id="rId1"/>
  <ignoredErrors>
    <ignoredError sqref="S21 V21 Z2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3BE9-D441-4B97-B74D-ECBF2881EAF5}">
  <dimension ref="A1:AE39"/>
  <sheetViews>
    <sheetView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Q21" sqref="Q20:Q21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6" max="16" width="11.44140625" style="44" bestFit="1" customWidth="1"/>
    <col min="17" max="17" width="13.6640625" style="44" customWidth="1"/>
    <col min="18" max="18" width="11.44140625" bestFit="1" customWidth="1"/>
    <col min="19" max="19" width="8.109375" style="45" bestFit="1" customWidth="1"/>
    <col min="20" max="20" width="10.44140625" style="46" bestFit="1" customWidth="1"/>
    <col min="21" max="21" width="11.44140625" style="36" bestFit="1" customWidth="1"/>
    <col min="22" max="22" width="7.88671875" style="36" bestFit="1" customWidth="1"/>
    <col min="26" max="26" width="7.44140625" customWidth="1"/>
    <col min="29" max="29" width="7.109375" bestFit="1" customWidth="1"/>
  </cols>
  <sheetData>
    <row r="1" spans="1:31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93"/>
      <c r="Q1" s="94"/>
      <c r="R1" s="95"/>
      <c r="S1" s="96" t="s">
        <v>49</v>
      </c>
      <c r="T1" s="94"/>
      <c r="U1" s="95"/>
      <c r="V1" s="97"/>
      <c r="W1" s="66"/>
      <c r="X1" s="67"/>
      <c r="Y1" s="68"/>
      <c r="Z1" s="69" t="s">
        <v>46</v>
      </c>
      <c r="AA1" s="67"/>
      <c r="AB1" s="68"/>
      <c r="AC1" s="70"/>
      <c r="AD1" s="71"/>
      <c r="AE1" s="72"/>
    </row>
    <row r="2" spans="1:31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8" t="s">
        <v>2</v>
      </c>
      <c r="X2" s="9" t="s">
        <v>3</v>
      </c>
      <c r="Y2" s="10" t="s">
        <v>4</v>
      </c>
      <c r="Z2" s="11" t="s">
        <v>5</v>
      </c>
      <c r="AA2" s="12" t="s">
        <v>6</v>
      </c>
      <c r="AB2" s="10" t="s">
        <v>7</v>
      </c>
      <c r="AC2" s="13" t="s">
        <v>5</v>
      </c>
      <c r="AD2" s="73" t="s">
        <v>47</v>
      </c>
      <c r="AE2" s="74" t="s">
        <v>48</v>
      </c>
    </row>
    <row r="3" spans="1:31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6"/>
      <c r="R3" s="17"/>
      <c r="S3" s="18"/>
      <c r="T3" s="19"/>
      <c r="U3" s="20"/>
      <c r="V3" s="21"/>
      <c r="W3" s="15"/>
      <c r="X3" s="15"/>
      <c r="Y3" s="77"/>
      <c r="Z3" s="18"/>
      <c r="AA3" s="19"/>
      <c r="AB3" s="20"/>
      <c r="AC3" s="21"/>
      <c r="AD3" s="16"/>
      <c r="AE3" s="26"/>
    </row>
    <row r="4" spans="1:31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v>1338750</v>
      </c>
      <c r="Q4" s="16">
        <v>1126289.7</v>
      </c>
      <c r="R4" s="24">
        <f>+Q4-P4</f>
        <v>-212460.30000000005</v>
      </c>
      <c r="S4" s="18">
        <f>+Q4/P4</f>
        <v>0.84129949579831931</v>
      </c>
      <c r="T4" s="29">
        <v>1224636.42</v>
      </c>
      <c r="U4" s="25">
        <f>+T4-P4</f>
        <v>-114113.58000000007</v>
      </c>
      <c r="V4" s="18">
        <f>+T4/P4</f>
        <v>0.91476109803921568</v>
      </c>
      <c r="W4" s="23">
        <f>+B4+I4+P4</f>
        <v>4016250</v>
      </c>
      <c r="X4" s="23">
        <f>+C4+J4+Q4</f>
        <v>3788579.4800000004</v>
      </c>
      <c r="Y4" s="24">
        <f>+X4-W4</f>
        <v>-227670.51999999955</v>
      </c>
      <c r="Z4" s="18">
        <f>+X4/W4</f>
        <v>0.94331266230936828</v>
      </c>
      <c r="AA4" s="16">
        <f>+F4+M4+T4</f>
        <v>2676055.13</v>
      </c>
      <c r="AB4" s="25">
        <f>+AA4-W4</f>
        <v>-1340194.8700000001</v>
      </c>
      <c r="AC4" s="18">
        <f>+AA4/W4</f>
        <v>0.66630691067538128</v>
      </c>
      <c r="AD4" s="16">
        <f>+X4/3</f>
        <v>1262859.8266666669</v>
      </c>
      <c r="AE4" s="26">
        <f>+AA4/3</f>
        <v>892018.37666666659</v>
      </c>
    </row>
    <row r="5" spans="1:31" x14ac:dyDescent="0.3">
      <c r="A5" s="22" t="s">
        <v>9</v>
      </c>
      <c r="B5" s="23"/>
      <c r="C5" s="16"/>
      <c r="D5" s="24">
        <f t="shared" ref="D5:D18" si="0">+C5-B5</f>
        <v>0</v>
      </c>
      <c r="E5" s="18"/>
      <c r="F5" s="28"/>
      <c r="G5" s="25">
        <f t="shared" ref="G5:G18" si="1">+F5-B5</f>
        <v>0</v>
      </c>
      <c r="H5" s="18"/>
      <c r="I5" s="23"/>
      <c r="J5" s="16"/>
      <c r="K5" s="24">
        <f t="shared" ref="K5:K18" si="2">+J5-I5</f>
        <v>0</v>
      </c>
      <c r="L5" s="18"/>
      <c r="M5" s="28"/>
      <c r="N5" s="25">
        <f t="shared" ref="N5:N12" si="3">+M5-I5</f>
        <v>0</v>
      </c>
      <c r="O5" s="18"/>
      <c r="P5" s="23"/>
      <c r="Q5" s="16">
        <v>333.62</v>
      </c>
      <c r="R5" s="24">
        <f t="shared" ref="R5:R18" si="4">+Q5-P5</f>
        <v>333.62</v>
      </c>
      <c r="S5" s="18"/>
      <c r="T5" s="28"/>
      <c r="U5" s="25">
        <f t="shared" ref="U5:U12" si="5">+T5-P5</f>
        <v>0</v>
      </c>
      <c r="V5" s="18"/>
      <c r="W5" s="23">
        <f t="shared" ref="W5:W19" si="6">+B5+I5+P5</f>
        <v>0</v>
      </c>
      <c r="X5" s="23">
        <f t="shared" ref="X5:X19" si="7">+C5+J5+Q5</f>
        <v>333.62</v>
      </c>
      <c r="Y5" s="24">
        <f t="shared" ref="Y5:Y19" si="8">+X5-W5</f>
        <v>333.62</v>
      </c>
      <c r="Z5" s="18"/>
      <c r="AA5" s="16">
        <f t="shared" ref="AA5:AA19" si="9">+F5+M5+T5</f>
        <v>0</v>
      </c>
      <c r="AB5" s="25">
        <f t="shared" ref="AB5:AB19" si="10">+AA5-W5</f>
        <v>0</v>
      </c>
      <c r="AC5" s="18"/>
      <c r="AD5" s="16">
        <f t="shared" ref="AD5:AD19" si="11">+X5/3</f>
        <v>111.20666666666666</v>
      </c>
      <c r="AE5" s="26">
        <f t="shared" ref="AE5:AE19" si="12">+AA5/3</f>
        <v>0</v>
      </c>
    </row>
    <row r="6" spans="1:31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2" si="13">+C6/B6</f>
        <v>1.5115234571428571</v>
      </c>
      <c r="F6" s="28">
        <v>733269.34</v>
      </c>
      <c r="G6" s="25">
        <f t="shared" si="1"/>
        <v>383269.33999999997</v>
      </c>
      <c r="H6" s="47">
        <f t="shared" ref="H6:H18" si="14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2" si="15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2" si="16">+M6/I6</f>
        <v>0.72470820000000002</v>
      </c>
      <c r="P6" s="26">
        <v>450000</v>
      </c>
      <c r="Q6" s="16">
        <v>78555.05</v>
      </c>
      <c r="R6" s="24">
        <f t="shared" si="4"/>
        <v>-371444.95</v>
      </c>
      <c r="S6" s="18">
        <f t="shared" ref="S6:S12" si="17">+Q6/P6</f>
        <v>0.17456677777777779</v>
      </c>
      <c r="T6" s="28">
        <v>92549.31</v>
      </c>
      <c r="U6" s="25">
        <f t="shared" si="5"/>
        <v>-357450.69</v>
      </c>
      <c r="V6" s="18">
        <f t="shared" ref="V6:V12" si="18">+T6/P6</f>
        <v>0.20566513333333333</v>
      </c>
      <c r="W6" s="23">
        <f t="shared" si="6"/>
        <v>1200000</v>
      </c>
      <c r="X6" s="23">
        <f t="shared" si="7"/>
        <v>1134412.57</v>
      </c>
      <c r="Y6" s="24">
        <f t="shared" si="8"/>
        <v>-65587.429999999935</v>
      </c>
      <c r="Z6" s="18">
        <f t="shared" ref="Z6:Z18" si="19">+X6/W6</f>
        <v>0.94534380833333342</v>
      </c>
      <c r="AA6" s="16">
        <f t="shared" si="9"/>
        <v>1115701.93</v>
      </c>
      <c r="AB6" s="25">
        <f t="shared" si="10"/>
        <v>-84298.070000000065</v>
      </c>
      <c r="AC6" s="18">
        <f t="shared" ref="AC6:AC18" si="20">+AA6/W6</f>
        <v>0.92975160833333326</v>
      </c>
      <c r="AD6" s="16">
        <f t="shared" si="11"/>
        <v>378137.52333333337</v>
      </c>
      <c r="AE6" s="26">
        <f t="shared" si="12"/>
        <v>371900.64333333331</v>
      </c>
    </row>
    <row r="7" spans="1:31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13"/>
        <v>1.2200101967493584</v>
      </c>
      <c r="F7" s="98">
        <v>1033129.09</v>
      </c>
      <c r="G7" s="25">
        <f t="shared" si="1"/>
        <v>156379.08999999997</v>
      </c>
      <c r="H7" s="47">
        <f t="shared" si="14"/>
        <v>1.178362235528942</v>
      </c>
      <c r="I7" s="26">
        <v>876750</v>
      </c>
      <c r="J7" s="16">
        <v>1093963.29</v>
      </c>
      <c r="K7" s="24">
        <f t="shared" si="2"/>
        <v>217213.29000000004</v>
      </c>
      <c r="L7" s="47">
        <f t="shared" si="15"/>
        <v>1.2477482634730539</v>
      </c>
      <c r="M7" s="98">
        <v>1174515.3999999999</v>
      </c>
      <c r="N7" s="25">
        <f t="shared" si="3"/>
        <v>297765.39999999991</v>
      </c>
      <c r="O7" s="47">
        <f t="shared" si="16"/>
        <v>1.3396240661534073</v>
      </c>
      <c r="P7" s="26">
        <v>876750</v>
      </c>
      <c r="Q7" s="16">
        <v>822828.79</v>
      </c>
      <c r="R7" s="24">
        <f t="shared" si="4"/>
        <v>-53921.209999999963</v>
      </c>
      <c r="S7" s="18">
        <f t="shared" si="17"/>
        <v>0.93849876247504993</v>
      </c>
      <c r="T7" s="28">
        <v>927646.45</v>
      </c>
      <c r="U7" s="25">
        <f t="shared" si="5"/>
        <v>50896.449999999953</v>
      </c>
      <c r="V7" s="47">
        <f t="shared" si="18"/>
        <v>1.0580512688907897</v>
      </c>
      <c r="W7" s="23">
        <f t="shared" si="6"/>
        <v>2630250</v>
      </c>
      <c r="X7" s="23">
        <f t="shared" si="7"/>
        <v>2986436.02</v>
      </c>
      <c r="Y7" s="24">
        <f t="shared" si="8"/>
        <v>356186.02</v>
      </c>
      <c r="Z7" s="47">
        <f t="shared" si="19"/>
        <v>1.1354190742324874</v>
      </c>
      <c r="AA7" s="16">
        <f t="shared" si="9"/>
        <v>3135290.9399999995</v>
      </c>
      <c r="AB7" s="25">
        <f t="shared" si="10"/>
        <v>505040.93999999948</v>
      </c>
      <c r="AC7" s="47">
        <f t="shared" si="20"/>
        <v>1.1920125235243797</v>
      </c>
      <c r="AD7" s="16">
        <f t="shared" si="11"/>
        <v>995478.67333333334</v>
      </c>
      <c r="AE7" s="26">
        <f t="shared" si="12"/>
        <v>1045096.9799999999</v>
      </c>
    </row>
    <row r="8" spans="1:31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13"/>
        <v>0.35595089999999996</v>
      </c>
      <c r="F8" s="28">
        <v>19135.27</v>
      </c>
      <c r="G8" s="25">
        <f t="shared" si="1"/>
        <v>-80864.73</v>
      </c>
      <c r="H8" s="18">
        <f t="shared" si="14"/>
        <v>0.19135270000000001</v>
      </c>
      <c r="I8" s="26">
        <v>150000</v>
      </c>
      <c r="J8" s="16">
        <v>173409.83</v>
      </c>
      <c r="K8" s="24">
        <f t="shared" si="2"/>
        <v>23409.829999999987</v>
      </c>
      <c r="L8" s="47">
        <f t="shared" si="15"/>
        <v>1.1560655333333332</v>
      </c>
      <c r="M8" s="28">
        <v>302930.28999999998</v>
      </c>
      <c r="N8" s="25">
        <f t="shared" si="3"/>
        <v>152930.28999999998</v>
      </c>
      <c r="O8" s="47">
        <f t="shared" si="16"/>
        <v>2.0195352666666664</v>
      </c>
      <c r="P8" s="26">
        <v>200000</v>
      </c>
      <c r="Q8" s="16">
        <v>250378</v>
      </c>
      <c r="R8" s="24">
        <f t="shared" si="4"/>
        <v>50378</v>
      </c>
      <c r="S8" s="47">
        <f t="shared" si="17"/>
        <v>1.2518899999999999</v>
      </c>
      <c r="T8" s="28">
        <v>183223.25</v>
      </c>
      <c r="U8" s="25">
        <f t="shared" si="5"/>
        <v>-16776.75</v>
      </c>
      <c r="V8" s="18">
        <f t="shared" si="18"/>
        <v>0.91611624999999997</v>
      </c>
      <c r="W8" s="23">
        <f t="shared" si="6"/>
        <v>450000</v>
      </c>
      <c r="X8" s="23">
        <f t="shared" si="7"/>
        <v>459382.92</v>
      </c>
      <c r="Y8" s="24">
        <f t="shared" si="8"/>
        <v>9382.9199999999837</v>
      </c>
      <c r="Z8" s="47">
        <f t="shared" si="19"/>
        <v>1.0208509333333333</v>
      </c>
      <c r="AA8" s="16">
        <f t="shared" si="9"/>
        <v>505288.81</v>
      </c>
      <c r="AB8" s="25">
        <f t="shared" si="10"/>
        <v>55288.81</v>
      </c>
      <c r="AC8" s="47">
        <f t="shared" si="20"/>
        <v>1.1228640222222221</v>
      </c>
      <c r="AD8" s="16">
        <f t="shared" si="11"/>
        <v>153127.63999999998</v>
      </c>
      <c r="AE8" s="26">
        <f t="shared" si="12"/>
        <v>168429.60333333333</v>
      </c>
    </row>
    <row r="9" spans="1:31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13"/>
        <v>0</v>
      </c>
      <c r="F9" s="28"/>
      <c r="G9" s="25">
        <f t="shared" si="1"/>
        <v>-500000</v>
      </c>
      <c r="H9" s="18">
        <f t="shared" si="14"/>
        <v>0</v>
      </c>
      <c r="I9" s="26">
        <v>550000</v>
      </c>
      <c r="J9" s="16"/>
      <c r="K9" s="24">
        <f t="shared" si="2"/>
        <v>-550000</v>
      </c>
      <c r="L9" s="18">
        <f t="shared" si="15"/>
        <v>0</v>
      </c>
      <c r="M9" s="28"/>
      <c r="N9" s="25">
        <f t="shared" si="3"/>
        <v>-550000</v>
      </c>
      <c r="O9" s="18">
        <f t="shared" si="16"/>
        <v>0</v>
      </c>
      <c r="P9" s="26">
        <v>600000</v>
      </c>
      <c r="Q9" s="16"/>
      <c r="R9" s="24">
        <f t="shared" si="4"/>
        <v>-600000</v>
      </c>
      <c r="S9" s="18">
        <f t="shared" si="17"/>
        <v>0</v>
      </c>
      <c r="T9" s="28"/>
      <c r="U9" s="25">
        <f t="shared" si="5"/>
        <v>-600000</v>
      </c>
      <c r="V9" s="18">
        <f t="shared" si="18"/>
        <v>0</v>
      </c>
      <c r="W9" s="23">
        <f t="shared" si="6"/>
        <v>1650000</v>
      </c>
      <c r="X9" s="23">
        <f t="shared" si="7"/>
        <v>0</v>
      </c>
      <c r="Y9" s="24">
        <f t="shared" si="8"/>
        <v>-1650000</v>
      </c>
      <c r="Z9" s="18">
        <f t="shared" si="19"/>
        <v>0</v>
      </c>
      <c r="AA9" s="16">
        <f t="shared" si="9"/>
        <v>0</v>
      </c>
      <c r="AB9" s="25">
        <f t="shared" si="10"/>
        <v>-1650000</v>
      </c>
      <c r="AC9" s="18">
        <f t="shared" si="20"/>
        <v>0</v>
      </c>
      <c r="AD9" s="16">
        <f t="shared" si="11"/>
        <v>0</v>
      </c>
      <c r="AE9" s="26">
        <f t="shared" si="12"/>
        <v>0</v>
      </c>
    </row>
    <row r="10" spans="1:31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13"/>
        <v>0.53262757049486464</v>
      </c>
      <c r="F10" s="98">
        <v>722856.95</v>
      </c>
      <c r="G10" s="25">
        <f t="shared" si="1"/>
        <v>-615893.05000000005</v>
      </c>
      <c r="H10" s="18">
        <f t="shared" si="14"/>
        <v>0.5399491690009337</v>
      </c>
      <c r="I10" s="23">
        <v>1338750</v>
      </c>
      <c r="J10" s="16">
        <v>775015.59</v>
      </c>
      <c r="K10" s="24">
        <f t="shared" si="2"/>
        <v>-563734.41</v>
      </c>
      <c r="L10" s="18">
        <f t="shared" si="15"/>
        <v>0.57890987114845938</v>
      </c>
      <c r="M10" s="28">
        <v>628695.55000000005</v>
      </c>
      <c r="N10" s="25">
        <f t="shared" si="3"/>
        <v>-710054.45</v>
      </c>
      <c r="O10" s="18">
        <f t="shared" si="16"/>
        <v>0.46961385620915036</v>
      </c>
      <c r="P10" s="23">
        <v>1338750</v>
      </c>
      <c r="Q10" s="16">
        <v>1592126.15</v>
      </c>
      <c r="R10" s="24">
        <f t="shared" si="4"/>
        <v>253376.14999999991</v>
      </c>
      <c r="S10" s="47">
        <f t="shared" si="17"/>
        <v>1.1892632306255835</v>
      </c>
      <c r="T10" s="28">
        <v>386702.82</v>
      </c>
      <c r="U10" s="25">
        <f t="shared" si="5"/>
        <v>-952047.17999999993</v>
      </c>
      <c r="V10" s="18">
        <f t="shared" si="18"/>
        <v>0.28885364705882355</v>
      </c>
      <c r="W10" s="23">
        <f t="shared" si="6"/>
        <v>4016250</v>
      </c>
      <c r="X10" s="23">
        <f t="shared" si="7"/>
        <v>3080196.9</v>
      </c>
      <c r="Y10" s="24">
        <f t="shared" si="8"/>
        <v>-936053.10000000009</v>
      </c>
      <c r="Z10" s="18">
        <f t="shared" si="19"/>
        <v>0.7669335574229692</v>
      </c>
      <c r="AA10" s="16">
        <f t="shared" si="9"/>
        <v>1738255.32</v>
      </c>
      <c r="AB10" s="25">
        <f t="shared" si="10"/>
        <v>-2277994.6799999997</v>
      </c>
      <c r="AC10" s="18">
        <f t="shared" si="20"/>
        <v>0.43280555742296922</v>
      </c>
      <c r="AD10" s="16">
        <f t="shared" si="11"/>
        <v>1026732.2999999999</v>
      </c>
      <c r="AE10" s="26">
        <f t="shared" si="12"/>
        <v>579418.44000000006</v>
      </c>
    </row>
    <row r="11" spans="1:31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13"/>
        <v>1.5186024201680672</v>
      </c>
      <c r="F11" s="28">
        <v>913371.96</v>
      </c>
      <c r="G11" s="25">
        <f t="shared" si="1"/>
        <v>-425378.04000000004</v>
      </c>
      <c r="H11" s="18">
        <f t="shared" si="14"/>
        <v>0.68225729971988791</v>
      </c>
      <c r="I11" s="23">
        <v>1338750</v>
      </c>
      <c r="J11" s="16">
        <v>1709262.17</v>
      </c>
      <c r="K11" s="24">
        <f t="shared" si="2"/>
        <v>370512.16999999993</v>
      </c>
      <c r="L11" s="47">
        <f t="shared" si="15"/>
        <v>1.2767597908496731</v>
      </c>
      <c r="M11" s="28">
        <v>365024.32</v>
      </c>
      <c r="N11" s="25">
        <f t="shared" si="3"/>
        <v>-973725.67999999993</v>
      </c>
      <c r="O11" s="18">
        <f t="shared" si="16"/>
        <v>0.27266055648926235</v>
      </c>
      <c r="P11" s="23">
        <v>1338750</v>
      </c>
      <c r="Q11" s="16">
        <v>611532.73</v>
      </c>
      <c r="R11" s="24">
        <f t="shared" si="4"/>
        <v>-727217.27</v>
      </c>
      <c r="S11" s="18">
        <f t="shared" si="17"/>
        <v>0.45679382259570495</v>
      </c>
      <c r="T11" s="28">
        <v>615830.28</v>
      </c>
      <c r="U11" s="25">
        <f t="shared" si="5"/>
        <v>-722919.72</v>
      </c>
      <c r="V11" s="18">
        <f t="shared" si="18"/>
        <v>0.46000394397759103</v>
      </c>
      <c r="W11" s="23">
        <f t="shared" si="6"/>
        <v>4016250</v>
      </c>
      <c r="X11" s="23">
        <f t="shared" si="7"/>
        <v>4353823.8900000006</v>
      </c>
      <c r="Y11" s="24">
        <f t="shared" si="8"/>
        <v>337573.8900000006</v>
      </c>
      <c r="Z11" s="47">
        <f t="shared" si="19"/>
        <v>1.084052011204482</v>
      </c>
      <c r="AA11" s="16">
        <f t="shared" si="9"/>
        <v>1894226.56</v>
      </c>
      <c r="AB11" s="25">
        <f t="shared" si="10"/>
        <v>-2122023.44</v>
      </c>
      <c r="AC11" s="18">
        <f t="shared" si="20"/>
        <v>0.47164060006224712</v>
      </c>
      <c r="AD11" s="16">
        <f t="shared" si="11"/>
        <v>1451274.6300000001</v>
      </c>
      <c r="AE11" s="26">
        <f t="shared" si="12"/>
        <v>631408.85333333339</v>
      </c>
    </row>
    <row r="12" spans="1:31" x14ac:dyDescent="0.3">
      <c r="A12" s="22" t="s">
        <v>16</v>
      </c>
      <c r="B12" s="23">
        <v>1338750</v>
      </c>
      <c r="C12" s="16"/>
      <c r="D12" s="24">
        <f t="shared" si="0"/>
        <v>-1338750</v>
      </c>
      <c r="E12" s="18">
        <f t="shared" si="13"/>
        <v>0</v>
      </c>
      <c r="F12" s="28"/>
      <c r="G12" s="25">
        <f t="shared" si="1"/>
        <v>-1338750</v>
      </c>
      <c r="H12" s="18">
        <f t="shared" si="14"/>
        <v>0</v>
      </c>
      <c r="I12" s="23">
        <v>1338750</v>
      </c>
      <c r="J12" s="16">
        <v>8745.0499999999993</v>
      </c>
      <c r="K12" s="24">
        <f t="shared" si="2"/>
        <v>-1330004.95</v>
      </c>
      <c r="L12" s="18">
        <f t="shared" si="15"/>
        <v>6.5322502334267032E-3</v>
      </c>
      <c r="M12" s="28">
        <v>11537.74</v>
      </c>
      <c r="N12" s="25">
        <f t="shared" si="3"/>
        <v>-1327212.26</v>
      </c>
      <c r="O12" s="18">
        <f t="shared" si="16"/>
        <v>8.6182931839402423E-3</v>
      </c>
      <c r="P12" s="23">
        <v>1338750</v>
      </c>
      <c r="Q12" s="16">
        <v>120604.3</v>
      </c>
      <c r="R12" s="24">
        <f t="shared" si="4"/>
        <v>-1218145.7</v>
      </c>
      <c r="S12" s="18">
        <f t="shared" si="17"/>
        <v>9.0087245564892629E-2</v>
      </c>
      <c r="T12" s="28">
        <v>89914.14</v>
      </c>
      <c r="U12" s="25">
        <f t="shared" si="5"/>
        <v>-1248835.8600000001</v>
      </c>
      <c r="V12" s="18">
        <f t="shared" si="18"/>
        <v>6.7162756302521012E-2</v>
      </c>
      <c r="W12" s="23">
        <f t="shared" si="6"/>
        <v>4016250</v>
      </c>
      <c r="X12" s="23">
        <f t="shared" si="7"/>
        <v>129349.35</v>
      </c>
      <c r="Y12" s="24">
        <f t="shared" si="8"/>
        <v>-3886900.65</v>
      </c>
      <c r="Z12" s="18">
        <f t="shared" si="19"/>
        <v>3.2206498599439776E-2</v>
      </c>
      <c r="AA12" s="16">
        <f t="shared" si="9"/>
        <v>101451.88</v>
      </c>
      <c r="AB12" s="25">
        <f t="shared" si="10"/>
        <v>-3914798.12</v>
      </c>
      <c r="AC12" s="18">
        <f t="shared" si="20"/>
        <v>2.526034982882042E-2</v>
      </c>
      <c r="AD12" s="16">
        <f t="shared" si="11"/>
        <v>43116.450000000004</v>
      </c>
      <c r="AE12" s="26">
        <f t="shared" si="12"/>
        <v>33817.293333333335</v>
      </c>
    </row>
    <row r="13" spans="1:31" x14ac:dyDescent="0.3">
      <c r="A13" s="22" t="s">
        <v>17</v>
      </c>
      <c r="B13" s="23"/>
      <c r="C13" s="16">
        <v>87046.92</v>
      </c>
      <c r="D13" s="24">
        <f t="shared" si="0"/>
        <v>87046.92</v>
      </c>
      <c r="E13" s="18"/>
      <c r="F13" s="28"/>
      <c r="G13" s="25">
        <f>+F13-B13</f>
        <v>0</v>
      </c>
      <c r="H13" s="18"/>
      <c r="I13" s="23"/>
      <c r="J13" s="16">
        <v>115746.49</v>
      </c>
      <c r="K13" s="24">
        <f t="shared" si="2"/>
        <v>115746.49</v>
      </c>
      <c r="L13" s="18"/>
      <c r="M13" s="28"/>
      <c r="N13" s="25">
        <f>+M13-I13</f>
        <v>0</v>
      </c>
      <c r="O13" s="18"/>
      <c r="P13" s="23"/>
      <c r="Q13" s="16">
        <v>91092.4</v>
      </c>
      <c r="R13" s="24">
        <f t="shared" si="4"/>
        <v>91092.4</v>
      </c>
      <c r="S13" s="18"/>
      <c r="T13" s="28"/>
      <c r="U13" s="25">
        <f>+T13-P13</f>
        <v>0</v>
      </c>
      <c r="V13" s="18"/>
      <c r="W13" s="23">
        <f t="shared" si="6"/>
        <v>0</v>
      </c>
      <c r="X13" s="23">
        <f t="shared" si="7"/>
        <v>293885.81</v>
      </c>
      <c r="Y13" s="24">
        <f t="shared" si="8"/>
        <v>293885.81</v>
      </c>
      <c r="Z13" s="18"/>
      <c r="AA13" s="16">
        <f t="shared" si="9"/>
        <v>0</v>
      </c>
      <c r="AB13" s="25">
        <f t="shared" si="10"/>
        <v>0</v>
      </c>
      <c r="AC13" s="18"/>
      <c r="AD13" s="16">
        <f t="shared" si="11"/>
        <v>97961.936666666661</v>
      </c>
      <c r="AE13" s="26">
        <f t="shared" si="12"/>
        <v>0</v>
      </c>
    </row>
    <row r="14" spans="1:31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8" si="21">+C14/B14</f>
        <v>4.5798640522875821E-2</v>
      </c>
      <c r="F14" s="28">
        <v>100067.31</v>
      </c>
      <c r="G14" s="25">
        <f t="shared" si="1"/>
        <v>-1238682.69</v>
      </c>
      <c r="H14" s="18">
        <f t="shared" si="14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ref="L14:L18" si="22">+J14/I14</f>
        <v>0.14859651914098973</v>
      </c>
      <c r="M14" s="28">
        <v>70010.070000000007</v>
      </c>
      <c r="N14" s="25">
        <f t="shared" ref="N14:N18" si="23">+M14-I14</f>
        <v>-1268739.93</v>
      </c>
      <c r="O14" s="18">
        <f t="shared" ref="O14:O18" si="24">+M14/I14</f>
        <v>5.2295103641456585E-2</v>
      </c>
      <c r="P14" s="23">
        <v>1338750</v>
      </c>
      <c r="Q14" s="16">
        <v>292575.34999999998</v>
      </c>
      <c r="R14" s="24">
        <f t="shared" si="4"/>
        <v>-1046174.65</v>
      </c>
      <c r="S14" s="18">
        <f t="shared" ref="S14:S18" si="25">+Q14/P14</f>
        <v>0.21854367880485526</v>
      </c>
      <c r="T14" s="28">
        <v>315180.46999999997</v>
      </c>
      <c r="U14" s="25">
        <f t="shared" ref="U14:U18" si="26">+T14-P14</f>
        <v>-1023569.53</v>
      </c>
      <c r="V14" s="18">
        <f t="shared" ref="V14:V18" si="27">+T14/P14</f>
        <v>0.23542892250233424</v>
      </c>
      <c r="W14" s="23">
        <f t="shared" si="6"/>
        <v>4016250</v>
      </c>
      <c r="X14" s="23">
        <f t="shared" si="7"/>
        <v>552821.87</v>
      </c>
      <c r="Y14" s="24">
        <f t="shared" si="8"/>
        <v>-3463428.13</v>
      </c>
      <c r="Z14" s="18">
        <f t="shared" si="19"/>
        <v>0.13764627948957361</v>
      </c>
      <c r="AA14" s="16">
        <f t="shared" si="9"/>
        <v>485257.85</v>
      </c>
      <c r="AB14" s="25">
        <f t="shared" si="10"/>
        <v>-3530992.15</v>
      </c>
      <c r="AC14" s="18">
        <f t="shared" si="20"/>
        <v>0.1208236165577342</v>
      </c>
      <c r="AD14" s="16">
        <f t="shared" si="11"/>
        <v>184273.95666666667</v>
      </c>
      <c r="AE14" s="26">
        <f t="shared" si="12"/>
        <v>161752.61666666667</v>
      </c>
    </row>
    <row r="15" spans="1:31" x14ac:dyDescent="0.3">
      <c r="A15" s="22" t="s">
        <v>19</v>
      </c>
      <c r="B15" s="23">
        <v>400000</v>
      </c>
      <c r="C15" s="16">
        <v>29901.71</v>
      </c>
      <c r="D15" s="24">
        <f t="shared" si="0"/>
        <v>-370098.29</v>
      </c>
      <c r="E15" s="18">
        <f t="shared" si="21"/>
        <v>7.4754274999999995E-2</v>
      </c>
      <c r="F15" s="28">
        <v>24830.18</v>
      </c>
      <c r="G15" s="25">
        <f t="shared" si="1"/>
        <v>-375169.82</v>
      </c>
      <c r="H15" s="18">
        <f t="shared" si="14"/>
        <v>6.2075449999999997E-2</v>
      </c>
      <c r="I15" s="23">
        <v>450000</v>
      </c>
      <c r="J15" s="16">
        <v>17492.240000000002</v>
      </c>
      <c r="K15" s="24">
        <f t="shared" si="2"/>
        <v>-432507.76</v>
      </c>
      <c r="L15" s="18">
        <f t="shared" si="22"/>
        <v>3.887164444444445E-2</v>
      </c>
      <c r="M15" s="28">
        <v>17490.080000000002</v>
      </c>
      <c r="N15" s="25">
        <f t="shared" si="23"/>
        <v>-432509.92</v>
      </c>
      <c r="O15" s="18">
        <f t="shared" si="24"/>
        <v>3.8866844444444451E-2</v>
      </c>
      <c r="P15" s="23"/>
      <c r="Q15" s="16"/>
      <c r="R15" s="24">
        <f t="shared" si="4"/>
        <v>0</v>
      </c>
      <c r="S15" s="18"/>
      <c r="T15" s="28"/>
      <c r="U15" s="25">
        <f t="shared" si="26"/>
        <v>0</v>
      </c>
      <c r="V15" s="18"/>
      <c r="W15" s="23">
        <f t="shared" si="6"/>
        <v>850000</v>
      </c>
      <c r="X15" s="23">
        <f t="shared" si="7"/>
        <v>47393.95</v>
      </c>
      <c r="Y15" s="24">
        <f t="shared" si="8"/>
        <v>-802606.05</v>
      </c>
      <c r="Z15" s="18">
        <f t="shared" si="19"/>
        <v>5.5757588235294114E-2</v>
      </c>
      <c r="AA15" s="16">
        <f t="shared" si="9"/>
        <v>42320.26</v>
      </c>
      <c r="AB15" s="25">
        <f t="shared" si="10"/>
        <v>-807679.74</v>
      </c>
      <c r="AC15" s="18">
        <f t="shared" si="20"/>
        <v>4.9788541176470594E-2</v>
      </c>
      <c r="AD15" s="16">
        <f t="shared" si="11"/>
        <v>15797.983333333332</v>
      </c>
      <c r="AE15" s="26">
        <f t="shared" si="12"/>
        <v>14106.753333333334</v>
      </c>
    </row>
    <row r="16" spans="1:31" x14ac:dyDescent="0.3">
      <c r="A16" s="22" t="s">
        <v>20</v>
      </c>
      <c r="B16" s="23">
        <v>1338750</v>
      </c>
      <c r="C16" s="16">
        <v>110791.25</v>
      </c>
      <c r="D16" s="24">
        <f t="shared" si="0"/>
        <v>-1227958.75</v>
      </c>
      <c r="E16" s="18">
        <f t="shared" si="21"/>
        <v>8.2757236227824466E-2</v>
      </c>
      <c r="F16" s="28">
        <v>136979.66</v>
      </c>
      <c r="G16" s="25">
        <f t="shared" si="1"/>
        <v>-1201770.3400000001</v>
      </c>
      <c r="H16" s="18">
        <f t="shared" si="14"/>
        <v>0.10231907376283847</v>
      </c>
      <c r="I16" s="23">
        <v>1338750</v>
      </c>
      <c r="J16" s="16">
        <v>78051.38</v>
      </c>
      <c r="K16" s="24">
        <f t="shared" si="2"/>
        <v>-1260698.6200000001</v>
      </c>
      <c r="L16" s="18">
        <f t="shared" si="22"/>
        <v>5.8301684407096176E-2</v>
      </c>
      <c r="M16" s="28">
        <v>40912.379999999997</v>
      </c>
      <c r="N16" s="25">
        <f t="shared" si="23"/>
        <v>-1297837.6200000001</v>
      </c>
      <c r="O16" s="18">
        <f t="shared" si="24"/>
        <v>3.0560134453781512E-2</v>
      </c>
      <c r="P16" s="23">
        <v>1338750</v>
      </c>
      <c r="Q16" s="16">
        <v>506672.98</v>
      </c>
      <c r="R16" s="24">
        <f t="shared" si="4"/>
        <v>-832077.02</v>
      </c>
      <c r="S16" s="18">
        <f t="shared" si="25"/>
        <v>0.37846721195144722</v>
      </c>
      <c r="T16" s="28">
        <v>952568.93</v>
      </c>
      <c r="U16" s="25">
        <f t="shared" si="26"/>
        <v>-386181.06999999995</v>
      </c>
      <c r="V16" s="18">
        <f t="shared" si="27"/>
        <v>0.7115360821661999</v>
      </c>
      <c r="W16" s="23">
        <f t="shared" si="6"/>
        <v>4016250</v>
      </c>
      <c r="X16" s="23">
        <f t="shared" si="7"/>
        <v>695515.61</v>
      </c>
      <c r="Y16" s="24">
        <f t="shared" si="8"/>
        <v>-3320734.39</v>
      </c>
      <c r="Z16" s="18">
        <f t="shared" si="19"/>
        <v>0.17317537752878928</v>
      </c>
      <c r="AA16" s="16">
        <f t="shared" si="9"/>
        <v>1130460.97</v>
      </c>
      <c r="AB16" s="25">
        <f t="shared" si="10"/>
        <v>-2885789.0300000003</v>
      </c>
      <c r="AC16" s="18">
        <f t="shared" si="20"/>
        <v>0.28147176346093994</v>
      </c>
      <c r="AD16" s="16">
        <f t="shared" si="11"/>
        <v>231838.53666666665</v>
      </c>
      <c r="AE16" s="26">
        <f t="shared" si="12"/>
        <v>376820.3233333333</v>
      </c>
    </row>
    <row r="17" spans="1:31" x14ac:dyDescent="0.3">
      <c r="A17" s="22" t="s">
        <v>21</v>
      </c>
      <c r="B17" s="23">
        <v>1338750</v>
      </c>
      <c r="C17" s="16">
        <v>2188130.21</v>
      </c>
      <c r="D17" s="24">
        <f t="shared" si="0"/>
        <v>849380.21</v>
      </c>
      <c r="E17" s="47">
        <f t="shared" si="21"/>
        <v>1.6344576732026144</v>
      </c>
      <c r="F17" s="29">
        <v>354566.78</v>
      </c>
      <c r="G17" s="25">
        <f t="shared" si="1"/>
        <v>-984183.22</v>
      </c>
      <c r="H17" s="18">
        <f t="shared" si="14"/>
        <v>0.26484913538748833</v>
      </c>
      <c r="I17" s="23">
        <v>1338750</v>
      </c>
      <c r="J17" s="16">
        <v>16172227.199999999</v>
      </c>
      <c r="K17" s="24">
        <f t="shared" si="2"/>
        <v>14833477.199999999</v>
      </c>
      <c r="L17" s="47">
        <f t="shared" si="22"/>
        <v>12.080095014005602</v>
      </c>
      <c r="M17" s="29">
        <v>5659626.5</v>
      </c>
      <c r="N17" s="25">
        <f t="shared" si="23"/>
        <v>4320876.5</v>
      </c>
      <c r="O17" s="47">
        <f t="shared" si="24"/>
        <v>4.2275454715219425</v>
      </c>
      <c r="P17" s="23">
        <v>1338750</v>
      </c>
      <c r="Q17" s="16">
        <v>5101264.1900000004</v>
      </c>
      <c r="R17" s="24">
        <f t="shared" si="4"/>
        <v>3762514.1900000004</v>
      </c>
      <c r="S17" s="47">
        <f t="shared" si="25"/>
        <v>3.8104681157796456</v>
      </c>
      <c r="T17" s="29">
        <v>1932266.94</v>
      </c>
      <c r="U17" s="25">
        <f t="shared" si="26"/>
        <v>593516.93999999994</v>
      </c>
      <c r="V17" s="47">
        <f t="shared" si="27"/>
        <v>1.443336649859944</v>
      </c>
      <c r="W17" s="23">
        <f t="shared" si="6"/>
        <v>4016250</v>
      </c>
      <c r="X17" s="23">
        <f t="shared" si="7"/>
        <v>23461621.600000001</v>
      </c>
      <c r="Y17" s="24">
        <f t="shared" si="8"/>
        <v>19445371.600000001</v>
      </c>
      <c r="Z17" s="47">
        <f t="shared" si="19"/>
        <v>5.8416736009959545</v>
      </c>
      <c r="AA17" s="16">
        <f t="shared" si="9"/>
        <v>7946460.2200000007</v>
      </c>
      <c r="AB17" s="25">
        <f t="shared" si="10"/>
        <v>3930210.2200000007</v>
      </c>
      <c r="AC17" s="47">
        <f t="shared" si="20"/>
        <v>1.9785770855897917</v>
      </c>
      <c r="AD17" s="16">
        <f t="shared" si="11"/>
        <v>7820540.5333333341</v>
      </c>
      <c r="AE17" s="26">
        <f t="shared" si="12"/>
        <v>2648820.0733333337</v>
      </c>
    </row>
    <row r="18" spans="1:31" x14ac:dyDescent="0.3">
      <c r="A18" s="22" t="s">
        <v>22</v>
      </c>
      <c r="B18" s="23">
        <v>500000</v>
      </c>
      <c r="C18" s="16">
        <v>552980.43000000005</v>
      </c>
      <c r="D18" s="24">
        <f t="shared" si="0"/>
        <v>52980.430000000051</v>
      </c>
      <c r="E18" s="47">
        <f t="shared" si="21"/>
        <v>1.1059608600000002</v>
      </c>
      <c r="F18" s="29">
        <v>551981.43000000005</v>
      </c>
      <c r="G18" s="25">
        <f t="shared" si="1"/>
        <v>51981.430000000051</v>
      </c>
      <c r="H18" s="47">
        <f t="shared" si="14"/>
        <v>1.1039628600000002</v>
      </c>
      <c r="I18" s="23">
        <v>550000</v>
      </c>
      <c r="J18" s="16">
        <v>1283683.3700000001</v>
      </c>
      <c r="K18" s="24">
        <f t="shared" si="2"/>
        <v>733683.37000000011</v>
      </c>
      <c r="L18" s="47">
        <f t="shared" si="22"/>
        <v>2.3339697636363637</v>
      </c>
      <c r="M18" s="29">
        <v>1508451.15</v>
      </c>
      <c r="N18" s="25">
        <f t="shared" si="23"/>
        <v>958451.14999999991</v>
      </c>
      <c r="O18" s="47">
        <f t="shared" si="24"/>
        <v>2.7426384545454545</v>
      </c>
      <c r="P18" s="23">
        <v>600000</v>
      </c>
      <c r="Q18" s="16">
        <v>884030.54</v>
      </c>
      <c r="R18" s="24">
        <f t="shared" si="4"/>
        <v>284030.54000000004</v>
      </c>
      <c r="S18" s="47">
        <f t="shared" si="25"/>
        <v>1.4733842333333333</v>
      </c>
      <c r="T18" s="29">
        <v>345604.95</v>
      </c>
      <c r="U18" s="25">
        <f t="shared" si="26"/>
        <v>-254395.05</v>
      </c>
      <c r="V18" s="18">
        <f t="shared" si="27"/>
        <v>0.57600825</v>
      </c>
      <c r="W18" s="23">
        <f t="shared" si="6"/>
        <v>1650000</v>
      </c>
      <c r="X18" s="23">
        <f t="shared" si="7"/>
        <v>2720694.3400000003</v>
      </c>
      <c r="Y18" s="24">
        <f t="shared" si="8"/>
        <v>1070694.3400000003</v>
      </c>
      <c r="Z18" s="47">
        <f t="shared" si="19"/>
        <v>1.6489056606060608</v>
      </c>
      <c r="AA18" s="16">
        <f t="shared" si="9"/>
        <v>2406037.5300000003</v>
      </c>
      <c r="AB18" s="25">
        <f t="shared" si="10"/>
        <v>756037.53000000026</v>
      </c>
      <c r="AC18" s="47">
        <f t="shared" si="20"/>
        <v>1.4582045636363639</v>
      </c>
      <c r="AD18" s="16">
        <f t="shared" si="11"/>
        <v>906898.1133333334</v>
      </c>
      <c r="AE18" s="26">
        <f t="shared" si="12"/>
        <v>802012.51000000013</v>
      </c>
    </row>
    <row r="19" spans="1:31" x14ac:dyDescent="0.3">
      <c r="A19" s="22" t="s">
        <v>26</v>
      </c>
      <c r="B19" s="23"/>
      <c r="C19" s="16">
        <v>60669.83</v>
      </c>
      <c r="D19" s="24">
        <f>+C19-B19</f>
        <v>60669.83</v>
      </c>
      <c r="E19" s="18"/>
      <c r="F19" s="28">
        <v>74635.009999999995</v>
      </c>
      <c r="G19" s="25">
        <f>+F19-B19</f>
        <v>74635.009999999995</v>
      </c>
      <c r="H19" s="18"/>
      <c r="I19" s="23"/>
      <c r="J19" s="16">
        <f>327.32+8787.51</f>
        <v>9114.83</v>
      </c>
      <c r="K19" s="24">
        <f>+J19-I19</f>
        <v>9114.83</v>
      </c>
      <c r="L19" s="18"/>
      <c r="M19" s="28">
        <v>5256.55</v>
      </c>
      <c r="N19" s="25">
        <f>+M19-I19</f>
        <v>5256.55</v>
      </c>
      <c r="O19" s="18"/>
      <c r="P19" s="23"/>
      <c r="Q19" s="16">
        <v>33104.07</v>
      </c>
      <c r="R19" s="24">
        <f>+Q19-P19</f>
        <v>33104.07</v>
      </c>
      <c r="S19" s="18"/>
      <c r="T19" s="28">
        <v>23024.37</v>
      </c>
      <c r="U19" s="25">
        <f>+T19-P19</f>
        <v>23024.37</v>
      </c>
      <c r="V19" s="18"/>
      <c r="W19" s="23">
        <f t="shared" si="6"/>
        <v>0</v>
      </c>
      <c r="X19" s="23">
        <f t="shared" si="7"/>
        <v>102888.73000000001</v>
      </c>
      <c r="Y19" s="24">
        <f t="shared" si="8"/>
        <v>102888.73000000001</v>
      </c>
      <c r="Z19" s="18"/>
      <c r="AA19" s="16">
        <f t="shared" si="9"/>
        <v>102915.93</v>
      </c>
      <c r="AB19" s="25">
        <f t="shared" si="10"/>
        <v>102915.93</v>
      </c>
      <c r="AC19" s="18"/>
      <c r="AD19" s="16">
        <f t="shared" si="11"/>
        <v>34296.243333333339</v>
      </c>
      <c r="AE19" s="26">
        <f t="shared" si="12"/>
        <v>34305.31</v>
      </c>
    </row>
    <row r="20" spans="1:31" ht="15" thickBot="1" x14ac:dyDescent="0.35">
      <c r="A20" s="22"/>
      <c r="B20" s="23"/>
      <c r="C20" s="16"/>
      <c r="D20" s="24"/>
      <c r="E20" s="30"/>
      <c r="F20" s="29"/>
      <c r="G20" s="25"/>
      <c r="H20" s="18"/>
      <c r="I20" s="23"/>
      <c r="J20" s="16"/>
      <c r="K20" s="24"/>
      <c r="L20" s="30"/>
      <c r="M20" s="29"/>
      <c r="N20" s="25"/>
      <c r="O20" s="18"/>
      <c r="P20" s="23"/>
      <c r="Q20" s="16"/>
      <c r="R20" s="24"/>
      <c r="S20" s="30"/>
      <c r="T20" s="29"/>
      <c r="U20" s="25"/>
      <c r="V20" s="18"/>
      <c r="W20" s="78"/>
      <c r="X20" s="78"/>
      <c r="Y20" s="79"/>
      <c r="Z20" s="80"/>
      <c r="AA20" s="78"/>
      <c r="AB20" s="81"/>
      <c r="AC20" s="82"/>
      <c r="AD20" s="83"/>
      <c r="AE20" s="82"/>
    </row>
    <row r="21" spans="1:31" ht="15" thickBot="1" x14ac:dyDescent="0.35">
      <c r="A21" s="31" t="s">
        <v>23</v>
      </c>
      <c r="B21" s="32">
        <f>SUM(B4:B20)</f>
        <v>12098000</v>
      </c>
      <c r="C21" s="32">
        <f>SUM(C4:C20)</f>
        <v>9551724.5199999996</v>
      </c>
      <c r="D21" s="32">
        <f>SUM(D4:D20)</f>
        <v>-2546275.4799999995</v>
      </c>
      <c r="E21" s="33">
        <f>+C21/B21</f>
        <v>0.78952922135890224</v>
      </c>
      <c r="F21" s="32">
        <f>SUM(F4:F20)</f>
        <v>5933096.3599999985</v>
      </c>
      <c r="G21" s="32">
        <f>SUM(G4:G20)</f>
        <v>-6164903.6400000006</v>
      </c>
      <c r="H21" s="33">
        <f>+F21/B21</f>
        <v>0.49041960324020489</v>
      </c>
      <c r="I21" s="32">
        <f>SUM(I4:I20)</f>
        <v>12348000</v>
      </c>
      <c r="J21" s="32">
        <f>SUM(J4:J20)</f>
        <v>22744224.27</v>
      </c>
      <c r="K21" s="32">
        <f>SUM(K4:K20)</f>
        <v>10396224.270000001</v>
      </c>
      <c r="L21" s="91">
        <f>+J21/I21</f>
        <v>1.8419358819241982</v>
      </c>
      <c r="M21" s="32">
        <f>SUM(M4:M20)</f>
        <v>10257478.640000001</v>
      </c>
      <c r="N21" s="32">
        <f>SUM(N4:N20)</f>
        <v>-2090521.3599999996</v>
      </c>
      <c r="O21" s="90">
        <f>+M21/I21</f>
        <v>0.83069959831551676</v>
      </c>
      <c r="P21" s="32">
        <f>SUM(P4:P20)</f>
        <v>12098000</v>
      </c>
      <c r="Q21" s="32">
        <f>SUM(Q4:Q20)</f>
        <v>11511387.870000001</v>
      </c>
      <c r="R21" s="32">
        <f>SUM(R4:R20)</f>
        <v>-586612.12999999931</v>
      </c>
      <c r="S21" s="33">
        <f>+Q21/P21</f>
        <v>0.95151164407340061</v>
      </c>
      <c r="T21" s="32">
        <f>SUM(T4:T20)</f>
        <v>7089148.3300000001</v>
      </c>
      <c r="U21" s="32">
        <f>SUM(U4:U20)</f>
        <v>-5008851.67</v>
      </c>
      <c r="V21" s="90">
        <f>+T21/P21</f>
        <v>0.58597688295586048</v>
      </c>
      <c r="W21" s="89">
        <f>SUM(W4:W19)</f>
        <v>36544000</v>
      </c>
      <c r="X21" s="32">
        <f>SUM(X4:X19)</f>
        <v>43807336.660000004</v>
      </c>
      <c r="Y21" s="84">
        <f>+X21-W21</f>
        <v>7263336.6600000039</v>
      </c>
      <c r="Z21" s="92">
        <f>+X21/W21</f>
        <v>1.1987559287434326</v>
      </c>
      <c r="AA21" s="86">
        <f>SUM(AA4:AA19)</f>
        <v>23279723.330000002</v>
      </c>
      <c r="AB21" s="87">
        <f>+AA21-W21</f>
        <v>-13264276.669999998</v>
      </c>
      <c r="AC21" s="85">
        <f>+AA21/W21</f>
        <v>0.6370327093366901</v>
      </c>
      <c r="AD21" s="86">
        <f>+X21/3</f>
        <v>14602445.553333335</v>
      </c>
      <c r="AE21" s="88">
        <f>+AA21/3</f>
        <v>7759907.7766666673</v>
      </c>
    </row>
    <row r="22" spans="1:31" x14ac:dyDescent="0.3">
      <c r="A22" s="22"/>
      <c r="B22" s="23"/>
      <c r="C22" s="16"/>
      <c r="D22" s="34"/>
      <c r="E22" s="18"/>
      <c r="F22" s="29"/>
      <c r="G22" s="35"/>
      <c r="H22" s="18"/>
      <c r="I22" s="23"/>
      <c r="J22" s="16"/>
      <c r="K22" s="34"/>
      <c r="L22" s="18"/>
      <c r="M22" s="29"/>
      <c r="N22" s="35"/>
      <c r="O22" s="18"/>
      <c r="P22" s="23"/>
      <c r="Q22" s="16"/>
      <c r="R22" s="34"/>
      <c r="S22" s="18"/>
      <c r="T22" s="29"/>
      <c r="U22" s="35"/>
      <c r="V22" s="18"/>
      <c r="W22" s="23"/>
      <c r="X22" s="16"/>
      <c r="Y22" s="34"/>
      <c r="Z22" s="18"/>
      <c r="AA22" s="29"/>
      <c r="AB22" s="35"/>
      <c r="AC22" s="18"/>
      <c r="AD22" s="16"/>
      <c r="AE22" s="26"/>
    </row>
    <row r="23" spans="1:31" x14ac:dyDescent="0.3">
      <c r="A23" s="22" t="s">
        <v>25</v>
      </c>
      <c r="B23" s="26"/>
      <c r="C23" s="16">
        <v>5189998</v>
      </c>
      <c r="E23" s="18"/>
      <c r="F23" s="29">
        <v>6473867</v>
      </c>
      <c r="H23" s="37"/>
      <c r="I23" s="26"/>
      <c r="J23" s="16">
        <v>6480867</v>
      </c>
      <c r="L23" s="18"/>
      <c r="M23" s="29">
        <v>4656309</v>
      </c>
      <c r="O23" s="37"/>
      <c r="P23" s="26"/>
      <c r="Q23" s="16">
        <v>5002093</v>
      </c>
      <c r="S23" s="18"/>
      <c r="T23" s="29">
        <v>4948390</v>
      </c>
      <c r="V23" s="37"/>
      <c r="W23" s="26"/>
      <c r="X23" s="16">
        <f>+C23+J23+Q23</f>
        <v>16672958</v>
      </c>
      <c r="Z23" s="18"/>
      <c r="AA23" s="16">
        <f>+F23+M23+T23</f>
        <v>16078566</v>
      </c>
      <c r="AB23" s="36"/>
      <c r="AC23" s="37"/>
      <c r="AD23" s="16">
        <f>+X23/3</f>
        <v>5557652.666666667</v>
      </c>
      <c r="AE23" s="26">
        <f>+AA23/3</f>
        <v>5359522</v>
      </c>
    </row>
    <row r="24" spans="1:31" x14ac:dyDescent="0.3">
      <c r="A24" s="38"/>
      <c r="B24" s="26"/>
      <c r="C24" s="16"/>
      <c r="E24" s="18"/>
      <c r="F24" s="29"/>
      <c r="H24" s="37"/>
      <c r="I24" s="26"/>
      <c r="J24" s="16"/>
      <c r="L24" s="18"/>
      <c r="M24" s="29"/>
      <c r="O24" s="37"/>
      <c r="P24" s="26"/>
      <c r="Q24" s="16"/>
      <c r="S24" s="18"/>
      <c r="T24" s="29"/>
      <c r="V24" s="37"/>
      <c r="W24" s="26"/>
      <c r="X24" s="16"/>
      <c r="Z24" s="18"/>
      <c r="AA24" s="29"/>
      <c r="AB24" s="36"/>
      <c r="AC24" s="37"/>
      <c r="AD24" s="16"/>
      <c r="AE24" s="26"/>
    </row>
    <row r="25" spans="1:31" ht="15" thickBot="1" x14ac:dyDescent="0.35">
      <c r="A25" s="39" t="s">
        <v>24</v>
      </c>
      <c r="B25" s="40"/>
      <c r="C25" s="41">
        <f>+C21-C23</f>
        <v>4361726.5199999996</v>
      </c>
      <c r="D25" s="42"/>
      <c r="E25" s="43">
        <f>+(C21/C23)-1</f>
        <v>0.8404100579614866</v>
      </c>
      <c r="F25" s="41">
        <f>+F21-F23</f>
        <v>-540770.64000000153</v>
      </c>
      <c r="G25" s="42"/>
      <c r="H25" s="43">
        <f>+(F21/F23)-1</f>
        <v>-8.3531317526294835E-2</v>
      </c>
      <c r="I25" s="40"/>
      <c r="J25" s="41">
        <f>+J21-J23</f>
        <v>16263357.27</v>
      </c>
      <c r="K25" s="42"/>
      <c r="L25" s="43">
        <f>+(J21/J23)-1</f>
        <v>2.5094416024892965</v>
      </c>
      <c r="M25" s="41">
        <f>+M21-M23</f>
        <v>5601169.6400000006</v>
      </c>
      <c r="N25" s="42"/>
      <c r="O25" s="43">
        <f>+(M21/M23)-1</f>
        <v>1.2029205192352999</v>
      </c>
      <c r="P25" s="40"/>
      <c r="Q25" s="41">
        <f>+Q21-Q23</f>
        <v>6509294.870000001</v>
      </c>
      <c r="R25" s="42"/>
      <c r="S25" s="43">
        <f>+(Q21/Q23)-1</f>
        <v>1.3013142438575214</v>
      </c>
      <c r="T25" s="41">
        <f>+T21-T23</f>
        <v>2140758.33</v>
      </c>
      <c r="U25" s="42"/>
      <c r="V25" s="43">
        <f>+(T21/T23)-1</f>
        <v>0.43261714012032204</v>
      </c>
      <c r="W25" s="40"/>
      <c r="X25" s="41">
        <f>+X21-X23</f>
        <v>27134378.660000004</v>
      </c>
      <c r="Y25" s="42"/>
      <c r="Z25" s="43">
        <f>+(X21/X23)-1</f>
        <v>1.6274483903815988</v>
      </c>
      <c r="AA25" s="41">
        <f>+AA21-AA23</f>
        <v>7201157.3300000019</v>
      </c>
      <c r="AB25" s="42"/>
      <c r="AC25" s="43">
        <f>+(AA21/AA23)-1</f>
        <v>0.44787310821126725</v>
      </c>
      <c r="AD25" s="75"/>
      <c r="AE25" s="76"/>
    </row>
    <row r="27" spans="1:31" x14ac:dyDescent="0.3">
      <c r="D27" s="44"/>
      <c r="F27" s="46">
        <v>5933096.3700000001</v>
      </c>
      <c r="G27" s="46"/>
      <c r="H27" s="45"/>
      <c r="K27" s="44"/>
      <c r="M27" s="46">
        <v>10257478.65</v>
      </c>
      <c r="N27" s="46"/>
      <c r="O27" s="45"/>
      <c r="R27" s="44"/>
      <c r="T27" s="46">
        <v>7089148.3300000001</v>
      </c>
      <c r="U27" s="46"/>
      <c r="V27" s="45"/>
      <c r="AA27" s="34">
        <v>23279723.350000001</v>
      </c>
    </row>
    <row r="28" spans="1:31" x14ac:dyDescent="0.3">
      <c r="F28" s="46">
        <f>+F21-F27</f>
        <v>-1.0000001639127731E-2</v>
      </c>
      <c r="M28" s="46">
        <f>+M21-M27</f>
        <v>-9.9999997764825821E-3</v>
      </c>
      <c r="T28" s="46">
        <f>+T21-T27</f>
        <v>0</v>
      </c>
      <c r="AA28" s="46">
        <f>+AA21-AA27</f>
        <v>-1.9999999552965164E-2</v>
      </c>
    </row>
    <row r="29" spans="1:31" x14ac:dyDescent="0.3">
      <c r="K29" s="44"/>
      <c r="R29" s="44"/>
    </row>
    <row r="30" spans="1:31" x14ac:dyDescent="0.3">
      <c r="A30" s="22"/>
      <c r="K30" s="44"/>
      <c r="R30" s="44"/>
    </row>
    <row r="31" spans="1:31" x14ac:dyDescent="0.3">
      <c r="A31" s="27"/>
      <c r="K31" s="44"/>
      <c r="R31" s="44"/>
    </row>
    <row r="32" spans="1:31" x14ac:dyDescent="0.3">
      <c r="A32" s="22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</sheetData>
  <pageMargins left="0.7" right="0.7" top="0.75" bottom="0.75" header="0.3" footer="0.3"/>
  <pageSetup orientation="portrait" r:id="rId1"/>
  <ignoredErrors>
    <ignoredError sqref="O21 L21 S21 E21:I2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3DF6-3592-42CC-BA88-4CE74464F07A}">
  <dimension ref="A1:X39"/>
  <sheetViews>
    <sheetView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V25" sqref="V25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  <col min="9" max="9" width="11.44140625" style="44" bestFit="1" customWidth="1"/>
    <col min="10" max="10" width="13.6640625" style="44" customWidth="1"/>
    <col min="11" max="11" width="11.44140625" bestFit="1" customWidth="1"/>
    <col min="12" max="12" width="8.109375" style="45" bestFit="1" customWidth="1"/>
    <col min="13" max="13" width="11.44140625" style="46" bestFit="1" customWidth="1"/>
    <col min="14" max="14" width="11.44140625" style="36" bestFit="1" customWidth="1"/>
    <col min="15" max="15" width="7.88671875" style="36" bestFit="1" customWidth="1"/>
    <col min="19" max="19" width="7.44140625" customWidth="1"/>
    <col min="22" max="22" width="7.109375" bestFit="1" customWidth="1"/>
  </cols>
  <sheetData>
    <row r="1" spans="1:24" ht="15" thickBot="1" x14ac:dyDescent="0.35">
      <c r="A1" s="1"/>
      <c r="B1" s="2"/>
      <c r="C1" s="3"/>
      <c r="D1" s="4"/>
      <c r="E1" s="5" t="s">
        <v>0</v>
      </c>
      <c r="F1" s="3"/>
      <c r="G1" s="4"/>
      <c r="H1" s="6"/>
      <c r="I1" s="48"/>
      <c r="J1" s="49"/>
      <c r="K1" s="50"/>
      <c r="L1" s="51" t="s">
        <v>27</v>
      </c>
      <c r="M1" s="49"/>
      <c r="N1" s="50"/>
      <c r="O1" s="52"/>
      <c r="P1" s="66"/>
      <c r="Q1" s="67"/>
      <c r="R1" s="68"/>
      <c r="S1" s="69" t="s">
        <v>46</v>
      </c>
      <c r="T1" s="67"/>
      <c r="U1" s="68"/>
      <c r="V1" s="70"/>
      <c r="W1" s="71"/>
      <c r="X1" s="72"/>
    </row>
    <row r="2" spans="1:24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  <c r="I2" s="8" t="s">
        <v>2</v>
      </c>
      <c r="J2" s="9" t="s">
        <v>3</v>
      </c>
      <c r="K2" s="10" t="s">
        <v>4</v>
      </c>
      <c r="L2" s="11" t="s">
        <v>5</v>
      </c>
      <c r="M2" s="12" t="s">
        <v>6</v>
      </c>
      <c r="N2" s="10" t="s">
        <v>7</v>
      </c>
      <c r="O2" s="13" t="s">
        <v>5</v>
      </c>
      <c r="P2" s="8" t="s">
        <v>2</v>
      </c>
      <c r="Q2" s="9" t="s">
        <v>3</v>
      </c>
      <c r="R2" s="10" t="s">
        <v>4</v>
      </c>
      <c r="S2" s="11" t="s">
        <v>5</v>
      </c>
      <c r="T2" s="12" t="s">
        <v>6</v>
      </c>
      <c r="U2" s="10" t="s">
        <v>7</v>
      </c>
      <c r="V2" s="13" t="s">
        <v>5</v>
      </c>
      <c r="W2" s="73" t="s">
        <v>47</v>
      </c>
      <c r="X2" s="74" t="s">
        <v>48</v>
      </c>
    </row>
    <row r="3" spans="1:24" x14ac:dyDescent="0.3">
      <c r="A3" s="14"/>
      <c r="B3" s="15"/>
      <c r="C3" s="16"/>
      <c r="D3" s="17"/>
      <c r="E3" s="18"/>
      <c r="F3" s="19"/>
      <c r="G3" s="20"/>
      <c r="H3" s="21"/>
      <c r="I3" s="15"/>
      <c r="J3" s="16"/>
      <c r="K3" s="17"/>
      <c r="L3" s="18"/>
      <c r="M3" s="19"/>
      <c r="N3" s="20"/>
      <c r="O3" s="21"/>
      <c r="P3" s="15"/>
      <c r="Q3" s="15"/>
      <c r="R3" s="77"/>
      <c r="S3" s="18"/>
      <c r="T3" s="19"/>
      <c r="U3" s="20"/>
      <c r="V3" s="21"/>
      <c r="W3" s="16"/>
      <c r="X3" s="26"/>
    </row>
    <row r="4" spans="1:24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  <c r="I4" s="23">
        <v>1338750</v>
      </c>
      <c r="J4" s="16">
        <v>581754.93000000005</v>
      </c>
      <c r="K4" s="24">
        <f>+J4-I4</f>
        <v>-756995.07</v>
      </c>
      <c r="L4" s="18">
        <f>+J4/I4</f>
        <v>0.43455083473389361</v>
      </c>
      <c r="M4" s="29">
        <v>183145.33</v>
      </c>
      <c r="N4" s="25">
        <f>+M4-I4</f>
        <v>-1155604.67</v>
      </c>
      <c r="O4" s="18">
        <f>+M4/I4</f>
        <v>0.13680323436041081</v>
      </c>
      <c r="P4" s="23">
        <f>+B4+I4</f>
        <v>2677500</v>
      </c>
      <c r="Q4" s="23">
        <f>+C4+J4</f>
        <v>2662289.7800000003</v>
      </c>
      <c r="R4" s="24">
        <f>+Q4-P4</f>
        <v>-15210.219999999739</v>
      </c>
      <c r="S4" s="18">
        <f>+Q4/P4</f>
        <v>0.99431924556489271</v>
      </c>
      <c r="T4" s="16">
        <f>+F4+M4</f>
        <v>1451418.71</v>
      </c>
      <c r="U4" s="25">
        <f>+T4-P4</f>
        <v>-1226081.29</v>
      </c>
      <c r="V4" s="18">
        <f>+T4/P4</f>
        <v>0.54207981699346408</v>
      </c>
      <c r="W4" s="16">
        <f>+Q4/2</f>
        <v>1331144.8900000001</v>
      </c>
      <c r="X4" s="26">
        <f>+T4/2</f>
        <v>725709.35499999998</v>
      </c>
    </row>
    <row r="5" spans="1:24" x14ac:dyDescent="0.3">
      <c r="A5" s="22" t="s">
        <v>9</v>
      </c>
      <c r="B5" s="23"/>
      <c r="C5" s="16"/>
      <c r="D5" s="24">
        <f t="shared" ref="D5:D18" si="0">+C5-B5</f>
        <v>0</v>
      </c>
      <c r="E5" s="18"/>
      <c r="F5" s="28"/>
      <c r="G5" s="25">
        <f t="shared" ref="G5:G18" si="1">+F5-B5</f>
        <v>0</v>
      </c>
      <c r="H5" s="18"/>
      <c r="I5" s="23"/>
      <c r="J5" s="16"/>
      <c r="K5" s="24">
        <f t="shared" ref="K5:K18" si="2">+J5-I5</f>
        <v>0</v>
      </c>
      <c r="L5" s="18"/>
      <c r="M5" s="28"/>
      <c r="N5" s="25">
        <f t="shared" ref="N5:N12" si="3">+M5-I5</f>
        <v>0</v>
      </c>
      <c r="O5" s="18"/>
      <c r="P5" s="23">
        <f t="shared" ref="P5:P19" si="4">+B5+I5</f>
        <v>0</v>
      </c>
      <c r="Q5" s="23">
        <f t="shared" ref="Q5:Q19" si="5">+C5+J5</f>
        <v>0</v>
      </c>
      <c r="R5" s="24">
        <f t="shared" ref="R5:R19" si="6">+Q5-P5</f>
        <v>0</v>
      </c>
      <c r="S5" s="18"/>
      <c r="T5" s="16">
        <f t="shared" ref="T5:T19" si="7">+F5+M5</f>
        <v>0</v>
      </c>
      <c r="U5" s="25">
        <f t="shared" ref="U5:U19" si="8">+T5-P5</f>
        <v>0</v>
      </c>
      <c r="V5" s="18"/>
      <c r="W5" s="16">
        <f t="shared" ref="W5:W19" si="9">+Q5/2</f>
        <v>0</v>
      </c>
      <c r="X5" s="26">
        <f t="shared" ref="X5:X19" si="10">+T5/2</f>
        <v>0</v>
      </c>
    </row>
    <row r="6" spans="1:24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2" si="11">+C6/B6</f>
        <v>1.5115234571428571</v>
      </c>
      <c r="F6" s="28">
        <v>733269.34</v>
      </c>
      <c r="G6" s="25">
        <f t="shared" si="1"/>
        <v>383269.33999999997</v>
      </c>
      <c r="H6" s="47">
        <f t="shared" ref="H6:H18" si="12">+F6/B6</f>
        <v>2.0950552571428571</v>
      </c>
      <c r="I6" s="26">
        <v>400000</v>
      </c>
      <c r="J6" s="16">
        <v>526824.31000000006</v>
      </c>
      <c r="K6" s="24">
        <f t="shared" si="2"/>
        <v>126824.31000000006</v>
      </c>
      <c r="L6" s="47">
        <f t="shared" ref="L6:L12" si="13">+J6/I6</f>
        <v>1.3170607750000001</v>
      </c>
      <c r="M6" s="28">
        <v>289883.28000000003</v>
      </c>
      <c r="N6" s="25">
        <f t="shared" si="3"/>
        <v>-110116.71999999997</v>
      </c>
      <c r="O6" s="18">
        <f t="shared" ref="O6:O12" si="14">+M6/I6</f>
        <v>0.72470820000000002</v>
      </c>
      <c r="P6" s="23">
        <f t="shared" si="4"/>
        <v>750000</v>
      </c>
      <c r="Q6" s="23">
        <f t="shared" si="5"/>
        <v>1055857.52</v>
      </c>
      <c r="R6" s="24">
        <f t="shared" si="6"/>
        <v>305857.52</v>
      </c>
      <c r="S6" s="47">
        <f t="shared" ref="S6:S18" si="15">+Q6/P6</f>
        <v>1.4078100266666667</v>
      </c>
      <c r="T6" s="16">
        <f t="shared" si="7"/>
        <v>1023152.62</v>
      </c>
      <c r="U6" s="25">
        <f t="shared" si="8"/>
        <v>273152.62</v>
      </c>
      <c r="V6" s="47">
        <f t="shared" ref="V6:V18" si="16">+T6/P6</f>
        <v>1.3642034933333334</v>
      </c>
      <c r="W6" s="16">
        <f t="shared" si="9"/>
        <v>527928.76</v>
      </c>
      <c r="X6" s="26">
        <f t="shared" si="10"/>
        <v>511576.31</v>
      </c>
    </row>
    <row r="7" spans="1:24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11"/>
        <v>1.2200101967493584</v>
      </c>
      <c r="F7" s="28">
        <v>1037765.4</v>
      </c>
      <c r="G7" s="25">
        <f t="shared" si="1"/>
        <v>161015.40000000002</v>
      </c>
      <c r="H7" s="47">
        <f t="shared" si="12"/>
        <v>1.1836502994011977</v>
      </c>
      <c r="I7" s="26">
        <v>876750</v>
      </c>
      <c r="J7" s="16">
        <v>1093963.29</v>
      </c>
      <c r="K7" s="24">
        <f t="shared" si="2"/>
        <v>217213.29000000004</v>
      </c>
      <c r="L7" s="47">
        <f t="shared" si="13"/>
        <v>1.2477482634730539</v>
      </c>
      <c r="M7" s="28">
        <v>1175368.52</v>
      </c>
      <c r="N7" s="25">
        <f t="shared" si="3"/>
        <v>298618.52</v>
      </c>
      <c r="O7" s="47">
        <f t="shared" si="14"/>
        <v>1.3405971143427431</v>
      </c>
      <c r="P7" s="23">
        <f t="shared" si="4"/>
        <v>1753500</v>
      </c>
      <c r="Q7" s="23">
        <f t="shared" si="5"/>
        <v>2163607.23</v>
      </c>
      <c r="R7" s="24">
        <f t="shared" si="6"/>
        <v>410107.23</v>
      </c>
      <c r="S7" s="47">
        <f t="shared" si="15"/>
        <v>1.233879230111206</v>
      </c>
      <c r="T7" s="16">
        <f t="shared" si="7"/>
        <v>2213133.92</v>
      </c>
      <c r="U7" s="25">
        <f t="shared" si="8"/>
        <v>459633.91999999993</v>
      </c>
      <c r="V7" s="47">
        <f t="shared" si="16"/>
        <v>1.2621237068719704</v>
      </c>
      <c r="W7" s="16">
        <f t="shared" si="9"/>
        <v>1081803.615</v>
      </c>
      <c r="X7" s="26">
        <f t="shared" si="10"/>
        <v>1106566.96</v>
      </c>
    </row>
    <row r="8" spans="1:24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11"/>
        <v>0.35595089999999996</v>
      </c>
      <c r="F8" s="28">
        <v>19135.27</v>
      </c>
      <c r="G8" s="25">
        <f t="shared" si="1"/>
        <v>-80864.73</v>
      </c>
      <c r="H8" s="18">
        <f t="shared" si="12"/>
        <v>0.19135270000000001</v>
      </c>
      <c r="I8" s="26">
        <v>150000</v>
      </c>
      <c r="J8" s="16">
        <v>173409.83</v>
      </c>
      <c r="K8" s="24">
        <f t="shared" si="2"/>
        <v>23409.829999999987</v>
      </c>
      <c r="L8" s="47">
        <f t="shared" si="13"/>
        <v>1.1560655333333332</v>
      </c>
      <c r="M8" s="28">
        <v>224799.31</v>
      </c>
      <c r="N8" s="25">
        <f t="shared" si="3"/>
        <v>74799.31</v>
      </c>
      <c r="O8" s="47">
        <f t="shared" si="14"/>
        <v>1.4986620666666666</v>
      </c>
      <c r="P8" s="23">
        <f t="shared" si="4"/>
        <v>250000</v>
      </c>
      <c r="Q8" s="23">
        <f t="shared" si="5"/>
        <v>209004.91999999998</v>
      </c>
      <c r="R8" s="24">
        <f t="shared" si="6"/>
        <v>-40995.080000000016</v>
      </c>
      <c r="S8" s="18">
        <f t="shared" si="15"/>
        <v>0.83601967999999993</v>
      </c>
      <c r="T8" s="16">
        <f t="shared" si="7"/>
        <v>243934.58</v>
      </c>
      <c r="U8" s="25">
        <f t="shared" si="8"/>
        <v>-6065.4200000000128</v>
      </c>
      <c r="V8" s="18">
        <f t="shared" si="16"/>
        <v>0.97573831999999994</v>
      </c>
      <c r="W8" s="16">
        <f t="shared" si="9"/>
        <v>104502.45999999999</v>
      </c>
      <c r="X8" s="26">
        <f t="shared" si="10"/>
        <v>121967.29</v>
      </c>
    </row>
    <row r="9" spans="1:24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11"/>
        <v>0</v>
      </c>
      <c r="F9" s="28"/>
      <c r="G9" s="25">
        <f t="shared" si="1"/>
        <v>-500000</v>
      </c>
      <c r="H9" s="18">
        <f t="shared" si="12"/>
        <v>0</v>
      </c>
      <c r="I9" s="26">
        <v>550000</v>
      </c>
      <c r="J9" s="16"/>
      <c r="K9" s="24">
        <f t="shared" si="2"/>
        <v>-550000</v>
      </c>
      <c r="L9" s="18">
        <f t="shared" si="13"/>
        <v>0</v>
      </c>
      <c r="M9" s="28"/>
      <c r="N9" s="25">
        <f t="shared" si="3"/>
        <v>-550000</v>
      </c>
      <c r="O9" s="18">
        <f t="shared" si="14"/>
        <v>0</v>
      </c>
      <c r="P9" s="23">
        <f t="shared" si="4"/>
        <v>1050000</v>
      </c>
      <c r="Q9" s="23">
        <f t="shared" si="5"/>
        <v>0</v>
      </c>
      <c r="R9" s="24">
        <f t="shared" si="6"/>
        <v>-1050000</v>
      </c>
      <c r="S9" s="18">
        <f t="shared" si="15"/>
        <v>0</v>
      </c>
      <c r="T9" s="16">
        <f t="shared" si="7"/>
        <v>0</v>
      </c>
      <c r="U9" s="25">
        <f t="shared" si="8"/>
        <v>-1050000</v>
      </c>
      <c r="V9" s="18">
        <f t="shared" si="16"/>
        <v>0</v>
      </c>
      <c r="W9" s="16">
        <f t="shared" si="9"/>
        <v>0</v>
      </c>
      <c r="X9" s="26">
        <f t="shared" si="10"/>
        <v>0</v>
      </c>
    </row>
    <row r="10" spans="1:24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11"/>
        <v>0.53262757049486464</v>
      </c>
      <c r="F10" s="28">
        <v>731440.93</v>
      </c>
      <c r="G10" s="25">
        <f t="shared" si="1"/>
        <v>-607309.06999999995</v>
      </c>
      <c r="H10" s="18">
        <f t="shared" si="12"/>
        <v>0.54636110550887029</v>
      </c>
      <c r="I10" s="23">
        <v>1338750</v>
      </c>
      <c r="J10" s="16">
        <v>775015.59</v>
      </c>
      <c r="K10" s="24">
        <f t="shared" si="2"/>
        <v>-563734.41</v>
      </c>
      <c r="L10" s="18">
        <f t="shared" si="13"/>
        <v>0.57890987114845938</v>
      </c>
      <c r="M10" s="28">
        <v>628695.55000000005</v>
      </c>
      <c r="N10" s="25">
        <f t="shared" si="3"/>
        <v>-710054.45</v>
      </c>
      <c r="O10" s="18">
        <f t="shared" si="14"/>
        <v>0.46961385620915036</v>
      </c>
      <c r="P10" s="23">
        <f t="shared" si="4"/>
        <v>2677500</v>
      </c>
      <c r="Q10" s="23">
        <f t="shared" si="5"/>
        <v>1488070.75</v>
      </c>
      <c r="R10" s="24">
        <f t="shared" si="6"/>
        <v>-1189429.25</v>
      </c>
      <c r="S10" s="18">
        <f t="shared" si="15"/>
        <v>0.55576872082166195</v>
      </c>
      <c r="T10" s="16">
        <f t="shared" si="7"/>
        <v>1360136.48</v>
      </c>
      <c r="U10" s="25">
        <f t="shared" si="8"/>
        <v>-1317363.52</v>
      </c>
      <c r="V10" s="18">
        <f t="shared" si="16"/>
        <v>0.50798748085901024</v>
      </c>
      <c r="W10" s="16">
        <f t="shared" si="9"/>
        <v>744035.375</v>
      </c>
      <c r="X10" s="26">
        <f t="shared" si="10"/>
        <v>680068.24</v>
      </c>
    </row>
    <row r="11" spans="1:24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11"/>
        <v>1.5186024201680672</v>
      </c>
      <c r="F11" s="28">
        <v>913371.96</v>
      </c>
      <c r="G11" s="25">
        <f t="shared" si="1"/>
        <v>-425378.04000000004</v>
      </c>
      <c r="H11" s="18">
        <f t="shared" si="12"/>
        <v>0.68225729971988791</v>
      </c>
      <c r="I11" s="23">
        <v>1338750</v>
      </c>
      <c r="J11" s="16">
        <v>1709262.17</v>
      </c>
      <c r="K11" s="24">
        <f t="shared" si="2"/>
        <v>370512.16999999993</v>
      </c>
      <c r="L11" s="47">
        <f t="shared" si="13"/>
        <v>1.2767597908496731</v>
      </c>
      <c r="M11" s="28">
        <v>365024.32</v>
      </c>
      <c r="N11" s="25">
        <f t="shared" si="3"/>
        <v>-973725.67999999993</v>
      </c>
      <c r="O11" s="18">
        <f t="shared" si="14"/>
        <v>0.27266055648926235</v>
      </c>
      <c r="P11" s="23">
        <f t="shared" si="4"/>
        <v>2677500</v>
      </c>
      <c r="Q11" s="23">
        <f t="shared" si="5"/>
        <v>3742291.16</v>
      </c>
      <c r="R11" s="24">
        <f t="shared" si="6"/>
        <v>1064791.1600000001</v>
      </c>
      <c r="S11" s="47">
        <f t="shared" si="15"/>
        <v>1.3976811055088703</v>
      </c>
      <c r="T11" s="16">
        <f t="shared" si="7"/>
        <v>1278396.28</v>
      </c>
      <c r="U11" s="25">
        <f t="shared" si="8"/>
        <v>-1399103.72</v>
      </c>
      <c r="V11" s="18">
        <f t="shared" si="16"/>
        <v>0.47745892810457519</v>
      </c>
      <c r="W11" s="16">
        <f t="shared" si="9"/>
        <v>1871145.58</v>
      </c>
      <c r="X11" s="26">
        <f t="shared" si="10"/>
        <v>639198.14</v>
      </c>
    </row>
    <row r="12" spans="1:24" x14ac:dyDescent="0.3">
      <c r="A12" s="22" t="s">
        <v>16</v>
      </c>
      <c r="B12" s="23">
        <v>1338750</v>
      </c>
      <c r="C12" s="16"/>
      <c r="D12" s="24">
        <f t="shared" si="0"/>
        <v>-1338750</v>
      </c>
      <c r="E12" s="18">
        <f t="shared" si="11"/>
        <v>0</v>
      </c>
      <c r="F12" s="28"/>
      <c r="G12" s="25">
        <f t="shared" si="1"/>
        <v>-1338750</v>
      </c>
      <c r="H12" s="18">
        <f t="shared" si="12"/>
        <v>0</v>
      </c>
      <c r="I12" s="23">
        <v>1338750</v>
      </c>
      <c r="J12" s="16">
        <v>8745.0499999999993</v>
      </c>
      <c r="K12" s="24">
        <f t="shared" si="2"/>
        <v>-1330004.95</v>
      </c>
      <c r="L12" s="18">
        <f t="shared" si="13"/>
        <v>6.5322502334267032E-3</v>
      </c>
      <c r="M12" s="28">
        <v>11537.74</v>
      </c>
      <c r="N12" s="25">
        <f t="shared" si="3"/>
        <v>-1327212.26</v>
      </c>
      <c r="O12" s="18">
        <f t="shared" si="14"/>
        <v>8.6182931839402423E-3</v>
      </c>
      <c r="P12" s="23">
        <f t="shared" si="4"/>
        <v>2677500</v>
      </c>
      <c r="Q12" s="23">
        <f t="shared" si="5"/>
        <v>8745.0499999999993</v>
      </c>
      <c r="R12" s="24">
        <f t="shared" si="6"/>
        <v>-2668754.9500000002</v>
      </c>
      <c r="S12" s="18">
        <f t="shared" si="15"/>
        <v>3.2661251167133516E-3</v>
      </c>
      <c r="T12" s="16">
        <f t="shared" si="7"/>
        <v>11537.74</v>
      </c>
      <c r="U12" s="25">
        <f t="shared" si="8"/>
        <v>-2665962.2599999998</v>
      </c>
      <c r="V12" s="18">
        <f t="shared" si="16"/>
        <v>4.3091465919701212E-3</v>
      </c>
      <c r="W12" s="16">
        <f t="shared" si="9"/>
        <v>4372.5249999999996</v>
      </c>
      <c r="X12" s="26">
        <f t="shared" si="10"/>
        <v>5768.87</v>
      </c>
    </row>
    <row r="13" spans="1:24" x14ac:dyDescent="0.3">
      <c r="A13" s="22" t="s">
        <v>17</v>
      </c>
      <c r="B13" s="23"/>
      <c r="C13" s="16">
        <v>87046.92</v>
      </c>
      <c r="D13" s="24">
        <f t="shared" si="0"/>
        <v>87046.92</v>
      </c>
      <c r="E13" s="18"/>
      <c r="F13" s="28"/>
      <c r="G13" s="25">
        <f>+F13-B13</f>
        <v>0</v>
      </c>
      <c r="H13" s="18"/>
      <c r="I13" s="23"/>
      <c r="J13" s="16">
        <v>115746.49</v>
      </c>
      <c r="K13" s="24">
        <f t="shared" si="2"/>
        <v>115746.49</v>
      </c>
      <c r="L13" s="18"/>
      <c r="M13" s="28"/>
      <c r="N13" s="25">
        <f>+M13-I13</f>
        <v>0</v>
      </c>
      <c r="O13" s="18"/>
      <c r="P13" s="23">
        <f t="shared" si="4"/>
        <v>0</v>
      </c>
      <c r="Q13" s="23">
        <f t="shared" si="5"/>
        <v>202793.41</v>
      </c>
      <c r="R13" s="24">
        <f t="shared" si="6"/>
        <v>202793.41</v>
      </c>
      <c r="S13" s="18"/>
      <c r="T13" s="16">
        <f t="shared" si="7"/>
        <v>0</v>
      </c>
      <c r="U13" s="25">
        <f t="shared" si="8"/>
        <v>0</v>
      </c>
      <c r="V13" s="18"/>
      <c r="W13" s="16">
        <f t="shared" si="9"/>
        <v>101396.705</v>
      </c>
      <c r="X13" s="26">
        <f t="shared" si="10"/>
        <v>0</v>
      </c>
    </row>
    <row r="14" spans="1:24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8" si="17">+C14/B14</f>
        <v>4.5798640522875821E-2</v>
      </c>
      <c r="F14" s="28">
        <v>100067.31</v>
      </c>
      <c r="G14" s="25">
        <f t="shared" si="1"/>
        <v>-1238682.69</v>
      </c>
      <c r="H14" s="18">
        <f t="shared" si="12"/>
        <v>7.4746823529411768E-2</v>
      </c>
      <c r="I14" s="23">
        <v>1338750</v>
      </c>
      <c r="J14" s="16">
        <v>198933.59</v>
      </c>
      <c r="K14" s="24">
        <f t="shared" si="2"/>
        <v>-1139816.4099999999</v>
      </c>
      <c r="L14" s="18">
        <f t="shared" ref="L14:L18" si="18">+J14/I14</f>
        <v>0.14859651914098973</v>
      </c>
      <c r="M14" s="28">
        <v>70010.070000000007</v>
      </c>
      <c r="N14" s="25">
        <f t="shared" ref="N14:N18" si="19">+M14-I14</f>
        <v>-1268739.93</v>
      </c>
      <c r="O14" s="18">
        <f t="shared" ref="O14:O18" si="20">+M14/I14</f>
        <v>5.2295103641456585E-2</v>
      </c>
      <c r="P14" s="23">
        <f t="shared" si="4"/>
        <v>2677500</v>
      </c>
      <c r="Q14" s="23">
        <f t="shared" si="5"/>
        <v>260246.52</v>
      </c>
      <c r="R14" s="24">
        <f t="shared" si="6"/>
        <v>-2417253.48</v>
      </c>
      <c r="S14" s="18">
        <f t="shared" si="15"/>
        <v>9.7197579831932765E-2</v>
      </c>
      <c r="T14" s="16">
        <f t="shared" si="7"/>
        <v>170077.38</v>
      </c>
      <c r="U14" s="25">
        <f t="shared" si="8"/>
        <v>-2507422.62</v>
      </c>
      <c r="V14" s="18">
        <f t="shared" si="16"/>
        <v>6.3520963585434173E-2</v>
      </c>
      <c r="W14" s="16">
        <f t="shared" si="9"/>
        <v>130123.26</v>
      </c>
      <c r="X14" s="26">
        <f t="shared" si="10"/>
        <v>85038.69</v>
      </c>
    </row>
    <row r="15" spans="1:24" x14ac:dyDescent="0.3">
      <c r="A15" s="22" t="s">
        <v>19</v>
      </c>
      <c r="B15" s="23">
        <v>400000</v>
      </c>
      <c r="C15" s="16">
        <v>29901.71</v>
      </c>
      <c r="D15" s="24">
        <f t="shared" si="0"/>
        <v>-370098.29</v>
      </c>
      <c r="E15" s="18">
        <f t="shared" si="17"/>
        <v>7.4754274999999995E-2</v>
      </c>
      <c r="F15" s="28">
        <v>24830.18</v>
      </c>
      <c r="G15" s="25">
        <f t="shared" si="1"/>
        <v>-375169.82</v>
      </c>
      <c r="H15" s="18">
        <f t="shared" si="12"/>
        <v>6.2075449999999997E-2</v>
      </c>
      <c r="I15" s="23">
        <v>450000</v>
      </c>
      <c r="J15" s="16">
        <v>17492.240000000002</v>
      </c>
      <c r="K15" s="24">
        <f t="shared" si="2"/>
        <v>-432507.76</v>
      </c>
      <c r="L15" s="18">
        <f t="shared" si="18"/>
        <v>3.887164444444445E-2</v>
      </c>
      <c r="M15" s="28">
        <v>17490.080000000002</v>
      </c>
      <c r="N15" s="25">
        <f t="shared" si="19"/>
        <v>-432509.92</v>
      </c>
      <c r="O15" s="18">
        <f t="shared" si="20"/>
        <v>3.8866844444444451E-2</v>
      </c>
      <c r="P15" s="23">
        <f t="shared" si="4"/>
        <v>850000</v>
      </c>
      <c r="Q15" s="23">
        <f t="shared" si="5"/>
        <v>47393.95</v>
      </c>
      <c r="R15" s="24">
        <f t="shared" si="6"/>
        <v>-802606.05</v>
      </c>
      <c r="S15" s="18">
        <f t="shared" si="15"/>
        <v>5.5757588235294114E-2</v>
      </c>
      <c r="T15" s="16">
        <f t="shared" si="7"/>
        <v>42320.26</v>
      </c>
      <c r="U15" s="25">
        <f t="shared" si="8"/>
        <v>-807679.74</v>
      </c>
      <c r="V15" s="18">
        <f t="shared" si="16"/>
        <v>4.9788541176470594E-2</v>
      </c>
      <c r="W15" s="16">
        <f t="shared" si="9"/>
        <v>23696.974999999999</v>
      </c>
      <c r="X15" s="26">
        <f t="shared" si="10"/>
        <v>21160.13</v>
      </c>
    </row>
    <row r="16" spans="1:24" x14ac:dyDescent="0.3">
      <c r="A16" s="22" t="s">
        <v>20</v>
      </c>
      <c r="B16" s="23">
        <v>1338750</v>
      </c>
      <c r="C16" s="16">
        <v>110791.25</v>
      </c>
      <c r="D16" s="24">
        <f t="shared" si="0"/>
        <v>-1227958.75</v>
      </c>
      <c r="E16" s="18">
        <f t="shared" si="17"/>
        <v>8.2757236227824466E-2</v>
      </c>
      <c r="F16" s="28">
        <v>136979.66</v>
      </c>
      <c r="G16" s="25">
        <f t="shared" si="1"/>
        <v>-1201770.3400000001</v>
      </c>
      <c r="H16" s="18">
        <f t="shared" si="12"/>
        <v>0.10231907376283847</v>
      </c>
      <c r="I16" s="23">
        <v>1338750</v>
      </c>
      <c r="J16" s="16">
        <v>78051.38</v>
      </c>
      <c r="K16" s="24">
        <f t="shared" si="2"/>
        <v>-1260698.6200000001</v>
      </c>
      <c r="L16" s="18">
        <f t="shared" si="18"/>
        <v>5.8301684407096176E-2</v>
      </c>
      <c r="M16" s="28">
        <v>40912.379999999997</v>
      </c>
      <c r="N16" s="25">
        <f t="shared" si="19"/>
        <v>-1297837.6200000001</v>
      </c>
      <c r="O16" s="18">
        <f t="shared" si="20"/>
        <v>3.0560134453781512E-2</v>
      </c>
      <c r="P16" s="23">
        <f t="shared" si="4"/>
        <v>2677500</v>
      </c>
      <c r="Q16" s="23">
        <f t="shared" si="5"/>
        <v>188842.63</v>
      </c>
      <c r="R16" s="24">
        <f t="shared" si="6"/>
        <v>-2488657.37</v>
      </c>
      <c r="S16" s="18">
        <f t="shared" si="15"/>
        <v>7.0529460317460324E-2</v>
      </c>
      <c r="T16" s="16">
        <f t="shared" si="7"/>
        <v>177892.04</v>
      </c>
      <c r="U16" s="25">
        <f t="shared" si="8"/>
        <v>-2499607.96</v>
      </c>
      <c r="V16" s="18">
        <f t="shared" si="16"/>
        <v>6.6439604108309999E-2</v>
      </c>
      <c r="W16" s="16">
        <f t="shared" si="9"/>
        <v>94421.315000000002</v>
      </c>
      <c r="X16" s="26">
        <f t="shared" si="10"/>
        <v>88946.02</v>
      </c>
    </row>
    <row r="17" spans="1:24" x14ac:dyDescent="0.3">
      <c r="A17" s="22" t="s">
        <v>21</v>
      </c>
      <c r="B17" s="23">
        <v>1338750</v>
      </c>
      <c r="C17" s="16">
        <v>2188130.21</v>
      </c>
      <c r="D17" s="24">
        <f t="shared" si="0"/>
        <v>849380.21</v>
      </c>
      <c r="E17" s="47">
        <f t="shared" si="17"/>
        <v>1.6344576732026144</v>
      </c>
      <c r="F17" s="29">
        <v>354566.78</v>
      </c>
      <c r="G17" s="25">
        <f t="shared" si="1"/>
        <v>-984183.22</v>
      </c>
      <c r="H17" s="18">
        <f t="shared" si="12"/>
        <v>0.26484913538748833</v>
      </c>
      <c r="I17" s="23">
        <v>1338750</v>
      </c>
      <c r="J17" s="16">
        <v>16172227.199999999</v>
      </c>
      <c r="K17" s="24">
        <f t="shared" si="2"/>
        <v>14833477.199999999</v>
      </c>
      <c r="L17" s="47">
        <f t="shared" si="18"/>
        <v>12.080095014005602</v>
      </c>
      <c r="M17" s="29">
        <v>5659626.5</v>
      </c>
      <c r="N17" s="25">
        <f t="shared" si="19"/>
        <v>4320876.5</v>
      </c>
      <c r="O17" s="47">
        <f t="shared" si="20"/>
        <v>4.2275454715219425</v>
      </c>
      <c r="P17" s="23">
        <f t="shared" si="4"/>
        <v>2677500</v>
      </c>
      <c r="Q17" s="23">
        <f t="shared" si="5"/>
        <v>18360357.41</v>
      </c>
      <c r="R17" s="24">
        <f t="shared" si="6"/>
        <v>15682857.41</v>
      </c>
      <c r="S17" s="47">
        <f t="shared" si="15"/>
        <v>6.8572763436041084</v>
      </c>
      <c r="T17" s="16">
        <f t="shared" si="7"/>
        <v>6014193.2800000003</v>
      </c>
      <c r="U17" s="25">
        <f t="shared" si="8"/>
        <v>3336693.2800000003</v>
      </c>
      <c r="V17" s="47">
        <f t="shared" si="16"/>
        <v>2.2461973034547151</v>
      </c>
      <c r="W17" s="16">
        <f t="shared" si="9"/>
        <v>9180178.7050000001</v>
      </c>
      <c r="X17" s="26">
        <f t="shared" si="10"/>
        <v>3007096.64</v>
      </c>
    </row>
    <row r="18" spans="1:24" x14ac:dyDescent="0.3">
      <c r="A18" s="22" t="s">
        <v>22</v>
      </c>
      <c r="B18" s="23">
        <v>500000</v>
      </c>
      <c r="C18" s="16">
        <v>552980.43000000005</v>
      </c>
      <c r="D18" s="24">
        <f t="shared" si="0"/>
        <v>52980.430000000051</v>
      </c>
      <c r="E18" s="47">
        <f t="shared" si="17"/>
        <v>1.1059608600000002</v>
      </c>
      <c r="F18" s="29">
        <v>551981.43000000005</v>
      </c>
      <c r="G18" s="25">
        <f t="shared" si="1"/>
        <v>51981.430000000051</v>
      </c>
      <c r="H18" s="47">
        <f t="shared" si="12"/>
        <v>1.1039628600000002</v>
      </c>
      <c r="I18" s="23">
        <v>550000</v>
      </c>
      <c r="J18" s="16">
        <v>1283683.3700000001</v>
      </c>
      <c r="K18" s="24">
        <f t="shared" si="2"/>
        <v>733683.37000000011</v>
      </c>
      <c r="L18" s="47">
        <f t="shared" si="18"/>
        <v>2.3339697636363637</v>
      </c>
      <c r="M18" s="29">
        <v>1508451.15</v>
      </c>
      <c r="N18" s="25">
        <f t="shared" si="19"/>
        <v>958451.14999999991</v>
      </c>
      <c r="O18" s="47">
        <f t="shared" si="20"/>
        <v>2.7426384545454545</v>
      </c>
      <c r="P18" s="23">
        <f t="shared" si="4"/>
        <v>1050000</v>
      </c>
      <c r="Q18" s="23">
        <f t="shared" si="5"/>
        <v>1836663.8000000003</v>
      </c>
      <c r="R18" s="24">
        <f t="shared" si="6"/>
        <v>786663.80000000028</v>
      </c>
      <c r="S18" s="47">
        <f t="shared" si="15"/>
        <v>1.7492036190476192</v>
      </c>
      <c r="T18" s="16">
        <f t="shared" si="7"/>
        <v>2060432.58</v>
      </c>
      <c r="U18" s="25">
        <f t="shared" si="8"/>
        <v>1010432.5800000001</v>
      </c>
      <c r="V18" s="47">
        <f t="shared" si="16"/>
        <v>1.9623167428571429</v>
      </c>
      <c r="W18" s="16">
        <f t="shared" si="9"/>
        <v>918331.90000000014</v>
      </c>
      <c r="X18" s="26">
        <f t="shared" si="10"/>
        <v>1030216.29</v>
      </c>
    </row>
    <row r="19" spans="1:24" x14ac:dyDescent="0.3">
      <c r="A19" s="22" t="s">
        <v>26</v>
      </c>
      <c r="B19" s="23"/>
      <c r="C19" s="16">
        <v>60669.83</v>
      </c>
      <c r="D19" s="24">
        <f>+C19-B19</f>
        <v>60669.83</v>
      </c>
      <c r="E19" s="18"/>
      <c r="F19" s="28">
        <v>74635.009999999995</v>
      </c>
      <c r="G19" s="25">
        <f>+F19-B19</f>
        <v>74635.009999999995</v>
      </c>
      <c r="H19" s="18"/>
      <c r="I19" s="23"/>
      <c r="J19" s="16">
        <f>327.32+8787.51</f>
        <v>9114.83</v>
      </c>
      <c r="K19" s="24">
        <f>+J19-I19</f>
        <v>9114.83</v>
      </c>
      <c r="L19" s="18"/>
      <c r="M19" s="28">
        <v>5256.55</v>
      </c>
      <c r="N19" s="25">
        <f>+M19-I19</f>
        <v>5256.55</v>
      </c>
      <c r="O19" s="18"/>
      <c r="P19" s="23">
        <f t="shared" si="4"/>
        <v>0</v>
      </c>
      <c r="Q19" s="23">
        <f t="shared" si="5"/>
        <v>69784.66</v>
      </c>
      <c r="R19" s="24">
        <f t="shared" si="6"/>
        <v>69784.66</v>
      </c>
      <c r="S19" s="18"/>
      <c r="T19" s="16">
        <f t="shared" si="7"/>
        <v>79891.56</v>
      </c>
      <c r="U19" s="25">
        <f t="shared" si="8"/>
        <v>79891.56</v>
      </c>
      <c r="V19" s="18"/>
      <c r="W19" s="16">
        <f t="shared" si="9"/>
        <v>34892.33</v>
      </c>
      <c r="X19" s="26">
        <f t="shared" si="10"/>
        <v>39945.78</v>
      </c>
    </row>
    <row r="20" spans="1:24" ht="15" thickBot="1" x14ac:dyDescent="0.35">
      <c r="A20" s="22"/>
      <c r="B20" s="23"/>
      <c r="C20" s="16"/>
      <c r="D20" s="24"/>
      <c r="E20" s="30"/>
      <c r="F20" s="29"/>
      <c r="G20" s="25"/>
      <c r="H20" s="18"/>
      <c r="I20" s="23"/>
      <c r="J20" s="16"/>
      <c r="K20" s="24"/>
      <c r="L20" s="30"/>
      <c r="M20" s="29"/>
      <c r="N20" s="25"/>
      <c r="O20" s="18"/>
      <c r="P20" s="78"/>
      <c r="Q20" s="78"/>
      <c r="R20" s="79"/>
      <c r="S20" s="80"/>
      <c r="T20" s="78"/>
      <c r="U20" s="81"/>
      <c r="V20" s="82"/>
      <c r="W20" s="83"/>
      <c r="X20" s="82"/>
    </row>
    <row r="21" spans="1:24" ht="15" thickBot="1" x14ac:dyDescent="0.35">
      <c r="A21" s="31" t="s">
        <v>23</v>
      </c>
      <c r="B21" s="32">
        <f>SUM(B4:B20)</f>
        <v>12098000</v>
      </c>
      <c r="C21" s="32">
        <f>SUM(C4:C20)</f>
        <v>9551724.5199999996</v>
      </c>
      <c r="D21" s="32">
        <f>SUM(D4:D20)</f>
        <v>-2546275.4799999995</v>
      </c>
      <c r="E21" s="33">
        <f>+C21/B21</f>
        <v>0.78952922135890224</v>
      </c>
      <c r="F21" s="32">
        <f>SUM(F4:F20)</f>
        <v>5946316.6499999985</v>
      </c>
      <c r="G21" s="32">
        <f>SUM(G4:G20)</f>
        <v>-6151683.3500000006</v>
      </c>
      <c r="H21" s="33">
        <f>+F21/B21</f>
        <v>0.49151236981319213</v>
      </c>
      <c r="I21" s="32">
        <f>SUM(I4:I20)</f>
        <v>12348000</v>
      </c>
      <c r="J21" s="32">
        <f>SUM(J4:J20)</f>
        <v>22744224.27</v>
      </c>
      <c r="K21" s="32">
        <f>SUM(K4:K20)</f>
        <v>10396224.270000001</v>
      </c>
      <c r="L21" s="91">
        <f>+J21/I21</f>
        <v>1.8419358819241982</v>
      </c>
      <c r="M21" s="32">
        <f>SUM(M4:M20)</f>
        <v>10180200.780000001</v>
      </c>
      <c r="N21" s="32">
        <f>SUM(N4:N20)</f>
        <v>-2167799.2199999993</v>
      </c>
      <c r="O21" s="90">
        <f>+M21/I21</f>
        <v>0.82444126822157449</v>
      </c>
      <c r="P21" s="89">
        <f>+B21+I21</f>
        <v>24446000</v>
      </c>
      <c r="Q21" s="32">
        <f>+C21+J21</f>
        <v>32295948.789999999</v>
      </c>
      <c r="R21" s="84">
        <f>+Q21-P21</f>
        <v>7849948.7899999991</v>
      </c>
      <c r="S21" s="92">
        <f>+Q21/P21</f>
        <v>1.3211138341650985</v>
      </c>
      <c r="T21" s="86">
        <f>+F21+M21</f>
        <v>16126517.43</v>
      </c>
      <c r="U21" s="87">
        <f>+T21-P21</f>
        <v>-8319482.5700000003</v>
      </c>
      <c r="V21" s="85">
        <f>+T21/P21</f>
        <v>0.65967918800621772</v>
      </c>
      <c r="W21" s="86">
        <f>+Q21/2</f>
        <v>16147974.395</v>
      </c>
      <c r="X21" s="88">
        <f>+T21/2</f>
        <v>8063258.7149999999</v>
      </c>
    </row>
    <row r="22" spans="1:24" x14ac:dyDescent="0.3">
      <c r="A22" s="22"/>
      <c r="B22" s="23"/>
      <c r="C22" s="16"/>
      <c r="D22" s="34"/>
      <c r="E22" s="18"/>
      <c r="F22" s="29"/>
      <c r="G22" s="35"/>
      <c r="H22" s="18"/>
      <c r="I22" s="23"/>
      <c r="J22" s="16"/>
      <c r="K22" s="34"/>
      <c r="L22" s="18"/>
      <c r="M22" s="29"/>
      <c r="N22" s="35"/>
      <c r="O22" s="18"/>
      <c r="P22" s="23"/>
      <c r="Q22" s="16"/>
      <c r="R22" s="34"/>
      <c r="S22" s="18"/>
      <c r="T22" s="29"/>
      <c r="U22" s="35"/>
      <c r="V22" s="18"/>
      <c r="W22" s="16"/>
      <c r="X22" s="26"/>
    </row>
    <row r="23" spans="1:24" x14ac:dyDescent="0.3">
      <c r="A23" s="22" t="s">
        <v>25</v>
      </c>
      <c r="B23" s="26"/>
      <c r="C23" s="16">
        <v>5189998</v>
      </c>
      <c r="E23" s="18"/>
      <c r="F23" s="29">
        <v>6473867</v>
      </c>
      <c r="H23" s="37"/>
      <c r="I23" s="26"/>
      <c r="J23" s="16">
        <v>6480867</v>
      </c>
      <c r="L23" s="18"/>
      <c r="M23" s="29">
        <v>4656309</v>
      </c>
      <c r="O23" s="37"/>
      <c r="P23" s="26"/>
      <c r="Q23" s="16">
        <f>+C23+J23</f>
        <v>11670865</v>
      </c>
      <c r="S23" s="18"/>
      <c r="T23" s="16">
        <f>+F23+M23</f>
        <v>11130176</v>
      </c>
      <c r="U23" s="36"/>
      <c r="V23" s="37"/>
      <c r="W23" s="16">
        <f>+Q23/2</f>
        <v>5835432.5</v>
      </c>
      <c r="X23" s="26">
        <f>+T23/2</f>
        <v>5565088</v>
      </c>
    </row>
    <row r="24" spans="1:24" x14ac:dyDescent="0.3">
      <c r="A24" s="38"/>
      <c r="B24" s="26"/>
      <c r="C24" s="16"/>
      <c r="E24" s="18"/>
      <c r="F24" s="29"/>
      <c r="H24" s="37"/>
      <c r="I24" s="26"/>
      <c r="J24" s="16"/>
      <c r="L24" s="18"/>
      <c r="M24" s="29"/>
      <c r="O24" s="37"/>
      <c r="P24" s="26"/>
      <c r="Q24" s="16"/>
      <c r="S24" s="18"/>
      <c r="T24" s="29"/>
      <c r="U24" s="36"/>
      <c r="V24" s="37"/>
      <c r="W24" s="16"/>
      <c r="X24" s="26"/>
    </row>
    <row r="25" spans="1:24" ht="15" thickBot="1" x14ac:dyDescent="0.35">
      <c r="A25" s="39" t="s">
        <v>24</v>
      </c>
      <c r="B25" s="40"/>
      <c r="C25" s="41">
        <f>+C21-C23</f>
        <v>4361726.5199999996</v>
      </c>
      <c r="D25" s="42"/>
      <c r="E25" s="43">
        <f>+(C21/C23)-1</f>
        <v>0.8404100579614866</v>
      </c>
      <c r="F25" s="41">
        <f>+F21-F23</f>
        <v>-527550.35000000149</v>
      </c>
      <c r="G25" s="42"/>
      <c r="H25" s="43">
        <f>+(F21/F23)-1</f>
        <v>-8.1489216568706335E-2</v>
      </c>
      <c r="I25" s="40"/>
      <c r="J25" s="41">
        <f>+J21-J23</f>
        <v>16263357.27</v>
      </c>
      <c r="K25" s="42"/>
      <c r="L25" s="43">
        <f>+(J21/J23)-1</f>
        <v>2.5094416024892965</v>
      </c>
      <c r="M25" s="41">
        <f>+M21-M23</f>
        <v>5523891.7800000012</v>
      </c>
      <c r="N25" s="42"/>
      <c r="O25" s="43">
        <f>+(M21/M23)-1</f>
        <v>1.1863241421477828</v>
      </c>
      <c r="P25" s="40"/>
      <c r="Q25" s="41">
        <f>+Q21-Q23</f>
        <v>20625083.789999999</v>
      </c>
      <c r="R25" s="42"/>
      <c r="S25" s="43">
        <f>+(Q21/Q23)-1</f>
        <v>1.767228375103302</v>
      </c>
      <c r="T25" s="41">
        <f>+T21-T23</f>
        <v>4996341.43</v>
      </c>
      <c r="U25" s="42"/>
      <c r="V25" s="43">
        <f>+(T21/T23)-1</f>
        <v>0.44890048728789189</v>
      </c>
      <c r="W25" s="75"/>
      <c r="X25" s="76"/>
    </row>
    <row r="27" spans="1:24" x14ac:dyDescent="0.3">
      <c r="D27" s="44"/>
      <c r="F27" s="46">
        <v>5946316.6600000001</v>
      </c>
      <c r="G27" s="46"/>
      <c r="H27" s="45"/>
      <c r="K27" s="44"/>
      <c r="M27" s="46">
        <v>10180200.789999999</v>
      </c>
      <c r="N27" s="46"/>
      <c r="O27" s="45"/>
      <c r="T27" s="34">
        <v>16126517.449999999</v>
      </c>
    </row>
    <row r="28" spans="1:24" x14ac:dyDescent="0.3">
      <c r="F28" s="46">
        <f>+F21-F27</f>
        <v>-1.0000001639127731E-2</v>
      </c>
      <c r="M28" s="46">
        <f>+M21-M27</f>
        <v>-9.9999979138374329E-3</v>
      </c>
      <c r="T28" s="46">
        <f>+T21-T27</f>
        <v>-1.9999999552965164E-2</v>
      </c>
    </row>
    <row r="29" spans="1:24" x14ac:dyDescent="0.3">
      <c r="J29" s="44">
        <f>655827.99+353658.01</f>
        <v>1009486</v>
      </c>
      <c r="K29" s="44">
        <f>304505.71</f>
        <v>304505.71000000002</v>
      </c>
    </row>
    <row r="30" spans="1:24" x14ac:dyDescent="0.3">
      <c r="A30" s="22"/>
      <c r="J30" s="44">
        <f>+J29/1.16</f>
        <v>870246.55172413797</v>
      </c>
      <c r="K30" s="44">
        <f>+K29/1.16</f>
        <v>262504.92241379316</v>
      </c>
    </row>
    <row r="31" spans="1:24" x14ac:dyDescent="0.3">
      <c r="A31" s="27"/>
      <c r="J31" s="44">
        <f>+J30*17.64</f>
        <v>15351149.172413794</v>
      </c>
      <c r="K31" s="44">
        <f>+K30*17.64</f>
        <v>4630586.8313793112</v>
      </c>
    </row>
    <row r="32" spans="1:24" x14ac:dyDescent="0.3">
      <c r="A32" s="22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</sheetData>
  <pageMargins left="0.7" right="0.7" top="0.75" bottom="0.75" header="0.3" footer="0.3"/>
  <ignoredErrors>
    <ignoredError sqref="E21:O2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2178-C430-4555-BDDE-BCAE6A749060}">
  <dimension ref="A1:H39"/>
  <sheetViews>
    <sheetView workbookViewId="0">
      <selection activeCell="F21" sqref="F21"/>
    </sheetView>
  </sheetViews>
  <sheetFormatPr baseColWidth="10" defaultRowHeight="14.4" x14ac:dyDescent="0.3"/>
  <cols>
    <col min="1" max="1" width="23.44140625" style="36" customWidth="1"/>
    <col min="2" max="2" width="11.44140625" style="44" bestFit="1" customWidth="1"/>
    <col min="3" max="3" width="10.44140625" style="44" bestFit="1" customWidth="1"/>
    <col min="4" max="4" width="11.44140625" bestFit="1" customWidth="1"/>
    <col min="5" max="5" width="7.88671875" style="45" bestFit="1" customWidth="1"/>
    <col min="6" max="6" width="10.44140625" style="46" bestFit="1" customWidth="1"/>
    <col min="7" max="7" width="11.44140625" style="36" bestFit="1" customWidth="1"/>
    <col min="8" max="8" width="7.88671875" style="36" bestFit="1" customWidth="1"/>
  </cols>
  <sheetData>
    <row r="1" spans="1:8" ht="15" thickBot="1" x14ac:dyDescent="0.35">
      <c r="A1" s="1"/>
      <c r="B1" s="2"/>
      <c r="C1" s="3"/>
      <c r="D1" s="4"/>
      <c r="E1" s="5" t="s">
        <v>0</v>
      </c>
      <c r="F1" s="3"/>
      <c r="G1" s="4"/>
      <c r="H1" s="6"/>
    </row>
    <row r="2" spans="1:8" ht="29.4" thickBot="1" x14ac:dyDescent="0.3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0" t="s">
        <v>7</v>
      </c>
      <c r="H2" s="13" t="s">
        <v>5</v>
      </c>
    </row>
    <row r="3" spans="1:8" x14ac:dyDescent="0.3">
      <c r="A3" s="14"/>
      <c r="B3" s="15"/>
      <c r="C3" s="16"/>
      <c r="D3" s="17"/>
      <c r="E3" s="18"/>
      <c r="F3" s="19"/>
      <c r="G3" s="20"/>
      <c r="H3" s="21"/>
    </row>
    <row r="4" spans="1:8" x14ac:dyDescent="0.3">
      <c r="A4" s="22" t="s">
        <v>8</v>
      </c>
      <c r="B4" s="23">
        <v>1338750</v>
      </c>
      <c r="C4" s="16">
        <v>2080534.85</v>
      </c>
      <c r="D4" s="24">
        <f>+C4-B4</f>
        <v>741784.85000000009</v>
      </c>
      <c r="E4" s="47">
        <f>+C4/B4</f>
        <v>1.5540876563958919</v>
      </c>
      <c r="F4" s="29">
        <v>1268273.3799999999</v>
      </c>
      <c r="G4" s="25">
        <f>+F4-B4</f>
        <v>-70476.620000000112</v>
      </c>
      <c r="H4" s="18">
        <f>+F4/B4</f>
        <v>0.94735639962651719</v>
      </c>
    </row>
    <row r="5" spans="1:8" x14ac:dyDescent="0.3">
      <c r="A5" s="22" t="s">
        <v>9</v>
      </c>
      <c r="B5" s="23"/>
      <c r="C5" s="16"/>
      <c r="D5" s="24">
        <f t="shared" ref="D5:D18" si="0">+C5-B5</f>
        <v>0</v>
      </c>
      <c r="E5" s="18"/>
      <c r="F5" s="28"/>
      <c r="G5" s="25">
        <f t="shared" ref="G5:G18" si="1">+F5-B5</f>
        <v>0</v>
      </c>
      <c r="H5" s="18"/>
    </row>
    <row r="6" spans="1:8" x14ac:dyDescent="0.3">
      <c r="A6" s="22" t="s">
        <v>10</v>
      </c>
      <c r="B6" s="26">
        <v>350000</v>
      </c>
      <c r="C6" s="16">
        <v>529033.21</v>
      </c>
      <c r="D6" s="24">
        <f t="shared" si="0"/>
        <v>179033.20999999996</v>
      </c>
      <c r="E6" s="47">
        <f t="shared" ref="E6:E12" si="2">+C6/B6</f>
        <v>1.5115234571428571</v>
      </c>
      <c r="F6" s="28">
        <v>733269.34</v>
      </c>
      <c r="G6" s="25">
        <f t="shared" si="1"/>
        <v>383269.33999999997</v>
      </c>
      <c r="H6" s="47">
        <f t="shared" ref="H6:H18" si="3">+F6/B6</f>
        <v>2.0950552571428571</v>
      </c>
    </row>
    <row r="7" spans="1:8" x14ac:dyDescent="0.3">
      <c r="A7" s="27" t="s">
        <v>11</v>
      </c>
      <c r="B7" s="26">
        <v>876750</v>
      </c>
      <c r="C7" s="16">
        <v>1069643.94</v>
      </c>
      <c r="D7" s="24">
        <f t="shared" si="0"/>
        <v>192893.93999999994</v>
      </c>
      <c r="E7" s="47">
        <f t="shared" si="2"/>
        <v>1.2200101967493584</v>
      </c>
      <c r="F7" s="28">
        <v>1052631.0900000001</v>
      </c>
      <c r="G7" s="25">
        <f t="shared" si="1"/>
        <v>175881.09000000008</v>
      </c>
      <c r="H7" s="47">
        <f t="shared" si="3"/>
        <v>1.2006057485029942</v>
      </c>
    </row>
    <row r="8" spans="1:8" x14ac:dyDescent="0.3">
      <c r="A8" s="27" t="s">
        <v>12</v>
      </c>
      <c r="B8" s="26">
        <v>100000</v>
      </c>
      <c r="C8" s="16">
        <v>35595.089999999997</v>
      </c>
      <c r="D8" s="24">
        <f t="shared" si="0"/>
        <v>-64404.91</v>
      </c>
      <c r="E8" s="18">
        <f t="shared" si="2"/>
        <v>0.35595089999999996</v>
      </c>
      <c r="F8" s="28">
        <v>19135.27</v>
      </c>
      <c r="G8" s="25">
        <f t="shared" si="1"/>
        <v>-80864.73</v>
      </c>
      <c r="H8" s="18">
        <f t="shared" si="3"/>
        <v>0.19135270000000001</v>
      </c>
    </row>
    <row r="9" spans="1:8" x14ac:dyDescent="0.3">
      <c r="A9" s="27" t="s">
        <v>13</v>
      </c>
      <c r="B9" s="26">
        <v>500000</v>
      </c>
      <c r="C9" s="16"/>
      <c r="D9" s="24">
        <f t="shared" si="0"/>
        <v>-500000</v>
      </c>
      <c r="E9" s="18">
        <f t="shared" si="2"/>
        <v>0</v>
      </c>
      <c r="F9" s="28"/>
      <c r="G9" s="25">
        <f t="shared" si="1"/>
        <v>-500000</v>
      </c>
      <c r="H9" s="18">
        <f t="shared" si="3"/>
        <v>0</v>
      </c>
    </row>
    <row r="10" spans="1:8" x14ac:dyDescent="0.3">
      <c r="A10" s="22" t="s">
        <v>14</v>
      </c>
      <c r="B10" s="23">
        <v>1338750</v>
      </c>
      <c r="C10" s="16">
        <v>713055.16</v>
      </c>
      <c r="D10" s="24">
        <f t="shared" si="0"/>
        <v>-625694.84</v>
      </c>
      <c r="E10" s="18">
        <f t="shared" si="2"/>
        <v>0.53262757049486464</v>
      </c>
      <c r="F10" s="28">
        <v>731440.93</v>
      </c>
      <c r="G10" s="25">
        <f t="shared" si="1"/>
        <v>-607309.06999999995</v>
      </c>
      <c r="H10" s="18">
        <f t="shared" si="3"/>
        <v>0.54636110550887029</v>
      </c>
    </row>
    <row r="11" spans="1:8" x14ac:dyDescent="0.3">
      <c r="A11" s="22" t="s">
        <v>15</v>
      </c>
      <c r="B11" s="23">
        <v>1338750</v>
      </c>
      <c r="C11" s="16">
        <v>2033028.99</v>
      </c>
      <c r="D11" s="24">
        <f t="shared" si="0"/>
        <v>694278.99</v>
      </c>
      <c r="E11" s="47">
        <f t="shared" si="2"/>
        <v>1.5186024201680672</v>
      </c>
      <c r="F11" s="28">
        <v>924687.96</v>
      </c>
      <c r="G11" s="25">
        <f t="shared" si="1"/>
        <v>-414062.04000000004</v>
      </c>
      <c r="H11" s="18">
        <f t="shared" si="3"/>
        <v>0.69070996078431368</v>
      </c>
    </row>
    <row r="12" spans="1:8" x14ac:dyDescent="0.3">
      <c r="A12" s="22" t="s">
        <v>16</v>
      </c>
      <c r="B12" s="23">
        <v>1338750</v>
      </c>
      <c r="C12" s="16"/>
      <c r="D12" s="24">
        <f t="shared" si="0"/>
        <v>-1338750</v>
      </c>
      <c r="E12" s="18">
        <f t="shared" si="2"/>
        <v>0</v>
      </c>
      <c r="F12" s="28"/>
      <c r="G12" s="25">
        <f t="shared" si="1"/>
        <v>-1338750</v>
      </c>
      <c r="H12" s="18">
        <f t="shared" si="3"/>
        <v>0</v>
      </c>
    </row>
    <row r="13" spans="1:8" x14ac:dyDescent="0.3">
      <c r="A13" s="22" t="s">
        <v>17</v>
      </c>
      <c r="B13" s="23"/>
      <c r="C13" s="16">
        <v>87046.92</v>
      </c>
      <c r="D13" s="24">
        <f t="shared" si="0"/>
        <v>87046.92</v>
      </c>
      <c r="E13" s="18"/>
      <c r="F13" s="28"/>
      <c r="G13" s="25">
        <f>+F13-B13</f>
        <v>0</v>
      </c>
      <c r="H13" s="18"/>
    </row>
    <row r="14" spans="1:8" x14ac:dyDescent="0.3">
      <c r="A14" s="22" t="s">
        <v>18</v>
      </c>
      <c r="B14" s="23">
        <v>1338750</v>
      </c>
      <c r="C14" s="16">
        <v>61312.93</v>
      </c>
      <c r="D14" s="24">
        <f t="shared" si="0"/>
        <v>-1277437.07</v>
      </c>
      <c r="E14" s="18">
        <f t="shared" ref="E14:E18" si="4">+C14/B14</f>
        <v>4.5798640522875821E-2</v>
      </c>
      <c r="F14" s="28">
        <v>100067.31</v>
      </c>
      <c r="G14" s="25">
        <f t="shared" si="1"/>
        <v>-1238682.69</v>
      </c>
      <c r="H14" s="18">
        <f t="shared" si="3"/>
        <v>7.4746823529411768E-2</v>
      </c>
    </row>
    <row r="15" spans="1:8" x14ac:dyDescent="0.3">
      <c r="A15" s="22" t="s">
        <v>19</v>
      </c>
      <c r="B15" s="23">
        <v>400000</v>
      </c>
      <c r="C15" s="16">
        <v>29901.71</v>
      </c>
      <c r="D15" s="24">
        <f t="shared" si="0"/>
        <v>-370098.29</v>
      </c>
      <c r="E15" s="18">
        <f t="shared" si="4"/>
        <v>7.4754274999999995E-2</v>
      </c>
      <c r="F15" s="28">
        <v>24830.18</v>
      </c>
      <c r="G15" s="25">
        <f t="shared" si="1"/>
        <v>-375169.82</v>
      </c>
      <c r="H15" s="18">
        <f t="shared" si="3"/>
        <v>6.2075449999999997E-2</v>
      </c>
    </row>
    <row r="16" spans="1:8" x14ac:dyDescent="0.3">
      <c r="A16" s="22" t="s">
        <v>20</v>
      </c>
      <c r="B16" s="23">
        <v>1338750</v>
      </c>
      <c r="C16" s="16">
        <v>110791.25</v>
      </c>
      <c r="D16" s="24">
        <f t="shared" si="0"/>
        <v>-1227958.75</v>
      </c>
      <c r="E16" s="18">
        <f t="shared" si="4"/>
        <v>8.2757236227824466E-2</v>
      </c>
      <c r="F16" s="28">
        <v>136979.66</v>
      </c>
      <c r="G16" s="25">
        <f t="shared" si="1"/>
        <v>-1201770.3400000001</v>
      </c>
      <c r="H16" s="18">
        <f t="shared" si="3"/>
        <v>0.10231907376283847</v>
      </c>
    </row>
    <row r="17" spans="1:8" x14ac:dyDescent="0.3">
      <c r="A17" s="22" t="s">
        <v>21</v>
      </c>
      <c r="B17" s="23">
        <v>1338750</v>
      </c>
      <c r="C17" s="16">
        <v>2188130.21</v>
      </c>
      <c r="D17" s="24">
        <f t="shared" si="0"/>
        <v>849380.21</v>
      </c>
      <c r="E17" s="47">
        <f t="shared" si="4"/>
        <v>1.6344576732026144</v>
      </c>
      <c r="F17" s="29">
        <v>3458784.63</v>
      </c>
      <c r="G17" s="25">
        <f t="shared" si="1"/>
        <v>2120034.63</v>
      </c>
      <c r="H17" s="47">
        <f t="shared" si="3"/>
        <v>2.5835926274509804</v>
      </c>
    </row>
    <row r="18" spans="1:8" x14ac:dyDescent="0.3">
      <c r="A18" s="22" t="s">
        <v>22</v>
      </c>
      <c r="B18" s="23">
        <v>500000</v>
      </c>
      <c r="C18" s="16">
        <v>552980.43000000005</v>
      </c>
      <c r="D18" s="24">
        <f t="shared" si="0"/>
        <v>52980.430000000051</v>
      </c>
      <c r="E18" s="47">
        <f t="shared" si="4"/>
        <v>1.1059608600000002</v>
      </c>
      <c r="F18" s="29">
        <v>551981.43000000005</v>
      </c>
      <c r="G18" s="25">
        <f t="shared" si="1"/>
        <v>51981.430000000051</v>
      </c>
      <c r="H18" s="47">
        <f t="shared" si="3"/>
        <v>1.1039628600000002</v>
      </c>
    </row>
    <row r="19" spans="1:8" x14ac:dyDescent="0.3">
      <c r="A19" s="22" t="s">
        <v>26</v>
      </c>
      <c r="B19" s="23"/>
      <c r="C19" s="16">
        <v>60669.83</v>
      </c>
      <c r="D19" s="24">
        <f>+C19-B19</f>
        <v>60669.83</v>
      </c>
      <c r="E19" s="18"/>
      <c r="F19" s="28">
        <v>74635.009999999995</v>
      </c>
      <c r="G19" s="25">
        <f>+F19-B19</f>
        <v>74635.009999999995</v>
      </c>
      <c r="H19" s="18"/>
    </row>
    <row r="20" spans="1:8" ht="15" thickBot="1" x14ac:dyDescent="0.35">
      <c r="A20" s="22"/>
      <c r="B20" s="23"/>
      <c r="C20" s="16"/>
      <c r="D20" s="24"/>
      <c r="E20" s="30"/>
      <c r="F20" s="29"/>
      <c r="G20" s="25"/>
      <c r="H20" s="18"/>
    </row>
    <row r="21" spans="1:8" ht="15" thickBot="1" x14ac:dyDescent="0.35">
      <c r="A21" s="31" t="s">
        <v>23</v>
      </c>
      <c r="B21" s="32">
        <f>SUM(B4:B20)</f>
        <v>12098000</v>
      </c>
      <c r="C21" s="32">
        <f>SUM(C4:C20)</f>
        <v>9551724.5199999996</v>
      </c>
      <c r="D21" s="32">
        <f>SUM(D4:D20)</f>
        <v>-2546275.4799999995</v>
      </c>
      <c r="E21" s="33">
        <f>+C21/B21</f>
        <v>0.78952922135890224</v>
      </c>
      <c r="F21" s="32">
        <f>SUM(F4:F20)</f>
        <v>9076716.1899999995</v>
      </c>
      <c r="G21" s="32">
        <f>SUM(G4:G20)</f>
        <v>-3021283.81</v>
      </c>
      <c r="H21" s="33">
        <f>+F21/B21</f>
        <v>0.75026584476773017</v>
      </c>
    </row>
    <row r="22" spans="1:8" x14ac:dyDescent="0.3">
      <c r="A22" s="22"/>
      <c r="B22" s="23"/>
      <c r="C22" s="16"/>
      <c r="D22" s="34"/>
      <c r="E22" s="18"/>
      <c r="F22" s="29"/>
      <c r="G22" s="35"/>
      <c r="H22" s="18"/>
    </row>
    <row r="23" spans="1:8" x14ac:dyDescent="0.3">
      <c r="A23" s="22" t="s">
        <v>25</v>
      </c>
      <c r="B23" s="26"/>
      <c r="C23" s="16">
        <v>5189998</v>
      </c>
      <c r="E23" s="18"/>
      <c r="F23" s="29">
        <v>6473867</v>
      </c>
      <c r="H23" s="37"/>
    </row>
    <row r="24" spans="1:8" x14ac:dyDescent="0.3">
      <c r="A24" s="38"/>
      <c r="B24" s="26"/>
      <c r="C24" s="16"/>
      <c r="E24" s="18"/>
      <c r="F24" s="29"/>
      <c r="H24" s="37"/>
    </row>
    <row r="25" spans="1:8" ht="15" thickBot="1" x14ac:dyDescent="0.35">
      <c r="A25" s="39" t="s">
        <v>24</v>
      </c>
      <c r="B25" s="40"/>
      <c r="C25" s="41">
        <f>+C21-C23</f>
        <v>4361726.5199999996</v>
      </c>
      <c r="D25" s="42"/>
      <c r="E25" s="43">
        <f>+(C21/C23)-1</f>
        <v>0.8404100579614866</v>
      </c>
      <c r="F25" s="41">
        <f>+F21-F23</f>
        <v>2602849.1899999995</v>
      </c>
      <c r="G25" s="42"/>
      <c r="H25" s="43">
        <f>+(F21/F23)-1</f>
        <v>0.40205478271333028</v>
      </c>
    </row>
    <row r="27" spans="1:8" x14ac:dyDescent="0.3">
      <c r="D27" s="44"/>
      <c r="F27" s="46">
        <v>9076716.1999999993</v>
      </c>
      <c r="G27" s="46"/>
      <c r="H27" s="45"/>
    </row>
    <row r="28" spans="1:8" x14ac:dyDescent="0.3">
      <c r="F28" s="46">
        <f>+F21-F27</f>
        <v>-9.9999997764825821E-3</v>
      </c>
    </row>
    <row r="30" spans="1:8" x14ac:dyDescent="0.3">
      <c r="A30" s="22"/>
    </row>
    <row r="31" spans="1:8" x14ac:dyDescent="0.3">
      <c r="A31" s="27"/>
    </row>
    <row r="32" spans="1:8" x14ac:dyDescent="0.3">
      <c r="A32" s="22"/>
    </row>
    <row r="33" spans="1:1" x14ac:dyDescent="0.3">
      <c r="A33" s="22"/>
    </row>
    <row r="34" spans="1:1" x14ac:dyDescent="0.3">
      <c r="A34" s="22"/>
    </row>
    <row r="35" spans="1:1" x14ac:dyDescent="0.3">
      <c r="A35" s="22"/>
    </row>
    <row r="36" spans="1:1" x14ac:dyDescent="0.3">
      <c r="A36" s="22"/>
    </row>
    <row r="37" spans="1:1" x14ac:dyDescent="0.3">
      <c r="A37" s="22"/>
    </row>
    <row r="38" spans="1:1" x14ac:dyDescent="0.3">
      <c r="A38" s="22"/>
    </row>
    <row r="39" spans="1:1" x14ac:dyDescent="0.3">
      <c r="A39" s="22"/>
    </row>
  </sheetData>
  <pageMargins left="0.7" right="0.7" top="0.75" bottom="0.75" header="0.3" footer="0.3"/>
  <ignoredErrors>
    <ignoredError sqref="E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Presupuesto 26</vt:lpstr>
      <vt:lpstr>Oct. 26</vt:lpstr>
      <vt:lpstr>Sep. 26</vt:lpstr>
      <vt:lpstr>Ago. 26</vt:lpstr>
      <vt:lpstr>Jul. 26</vt:lpstr>
      <vt:lpstr>Jun. 26</vt:lpstr>
      <vt:lpstr>May. 26</vt:lpstr>
      <vt:lpstr>Abr. 26</vt:lpstr>
      <vt:lpstr>Mzo. 26</vt:lpstr>
      <vt:lpstr>Feb. 26</vt:lpstr>
      <vt:lpstr>Ene.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CcAaCh Inter</dc:creator>
  <cp:lastModifiedBy>Raquel Cristina Dominguez Esquivel</cp:lastModifiedBy>
  <dcterms:created xsi:type="dcterms:W3CDTF">2026-01-02T16:37:07Z</dcterms:created>
  <dcterms:modified xsi:type="dcterms:W3CDTF">2026-10-08T17:49:07Z</dcterms:modified>
</cp:coreProperties>
</file>