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192.0.3.100\cache interiores\CUENTAS POR COBRAR\CXC\1. REPORTES CXC\"/>
    </mc:Choice>
  </mc:AlternateContent>
  <xr:revisionPtr revIDLastSave="0" documentId="13_ncr:1_{644CCD5E-CE49-4D30-9AB7-8862B9D156E0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Dani" sheetId="7" state="hidden" r:id="rId1"/>
    <sheet name="ALEJANDRA" sheetId="5" state="hidden" r:id="rId2"/>
    <sheet name="CYNTHIA" sheetId="8" state="hidden" r:id="rId3"/>
    <sheet name="ROBERTO" sheetId="15" state="hidden" r:id="rId4"/>
    <sheet name="Isela" sheetId="12" r:id="rId5"/>
    <sheet name="Rodrigo" sheetId="1" r:id="rId6"/>
    <sheet name="Hoja1" sheetId="17" state="hidden" r:id="rId7"/>
    <sheet name="JESUS" sheetId="16" r:id="rId8"/>
    <sheet name="Pendientes" sheetId="14" state="hidden" r:id="rId9"/>
    <sheet name="Esther" sheetId="9" state="hidden" r:id="rId10"/>
    <sheet name="Sandra" sheetId="10" state="hidden" r:id="rId11"/>
    <sheet name="Mauro" sheetId="6" state="hidden" r:id="rId12"/>
  </sheets>
  <definedNames>
    <definedName name="_xlnm._FilterDatabase" localSheetId="0" hidden="1">Dani!$A$1:$Q$19</definedName>
    <definedName name="_xlnm._FilterDatabase" localSheetId="4" hidden="1">Isela!$A$1:$Q$36</definedName>
    <definedName name="_xlnm._FilterDatabase" localSheetId="7" hidden="1">JESUS!$A$1:$AK$1</definedName>
    <definedName name="_xlnm._FilterDatabase" localSheetId="8" hidden="1">Pendientes!$A$1:$G$1</definedName>
    <definedName name="_xlnm._FilterDatabase" localSheetId="5" hidden="1">Rodrigo!$A$1:$Q$27</definedName>
    <definedName name="_xlnm._FilterDatabase" localSheetId="10" hidden="1">Sandra!$A$1:$Q$18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2" l="1"/>
  <c r="I35" i="12"/>
  <c r="I34" i="12"/>
  <c r="I17" i="12"/>
  <c r="I8" i="12"/>
  <c r="I14" i="1"/>
  <c r="I13" i="1"/>
  <c r="I12" i="1"/>
  <c r="I11" i="1"/>
  <c r="I10" i="1"/>
  <c r="H15" i="16"/>
  <c r="H14" i="16"/>
  <c r="I18" i="1"/>
  <c r="I17" i="1"/>
  <c r="I16" i="1"/>
  <c r="I15" i="1"/>
  <c r="I7" i="1"/>
  <c r="H22" i="16"/>
  <c r="H21" i="16"/>
  <c r="H9" i="16"/>
  <c r="H8" i="16"/>
  <c r="I33" i="12" l="1"/>
  <c r="I32" i="12"/>
  <c r="I26" i="12"/>
  <c r="I16" i="12"/>
  <c r="I21" i="12"/>
  <c r="I14" i="12"/>
  <c r="I22" i="12"/>
  <c r="I18" i="12"/>
  <c r="I13" i="12"/>
  <c r="I12" i="12"/>
  <c r="I7" i="12"/>
  <c r="I5" i="12"/>
  <c r="I3" i="12"/>
  <c r="I6" i="12"/>
  <c r="I31" i="12"/>
  <c r="I24" i="12"/>
  <c r="I10" i="12"/>
  <c r="I23" i="12"/>
  <c r="I23" i="1"/>
  <c r="I25" i="1"/>
  <c r="I21" i="1"/>
  <c r="I20" i="1"/>
  <c r="I19" i="1"/>
  <c r="H20" i="16"/>
  <c r="H11" i="16"/>
  <c r="I30" i="12" l="1"/>
  <c r="I9" i="12"/>
  <c r="I3" i="1"/>
  <c r="H19" i="16"/>
  <c r="H16" i="16"/>
  <c r="H4" i="16"/>
  <c r="H5" i="16"/>
  <c r="H6" i="16"/>
  <c r="H7" i="16"/>
  <c r="H3" i="16"/>
  <c r="H2" i="16"/>
  <c r="I5" i="1"/>
  <c r="I4" i="1"/>
  <c r="I26" i="1"/>
  <c r="I2" i="1"/>
  <c r="I2" i="15" l="1"/>
  <c r="I8" i="7"/>
  <c r="I7" i="7"/>
  <c r="I6" i="7"/>
  <c r="I5" i="7"/>
  <c r="I3" i="7"/>
  <c r="I2" i="7"/>
  <c r="I6" i="1" l="1"/>
  <c r="I22" i="1"/>
  <c r="I27" i="12"/>
  <c r="I25" i="12"/>
  <c r="I28" i="12"/>
  <c r="I15" i="12"/>
  <c r="I4" i="12"/>
  <c r="I29" i="12"/>
  <c r="I20" i="12"/>
  <c r="I19" i="12"/>
  <c r="I12" i="7"/>
  <c r="I10" i="7"/>
  <c r="I9" i="7"/>
  <c r="I4" i="7"/>
  <c r="I11" i="12"/>
  <c r="I27" i="1" l="1"/>
  <c r="I24" i="1"/>
  <c r="I8" i="1"/>
  <c r="I13" i="7" l="1"/>
  <c r="I9" i="1"/>
  <c r="I2" i="8"/>
  <c r="I14" i="7"/>
  <c r="I11" i="7"/>
  <c r="J3" i="5" l="1"/>
  <c r="J2" i="5"/>
  <c r="I5" i="9"/>
  <c r="I10" i="10"/>
  <c r="I9" i="9"/>
  <c r="I15" i="10"/>
  <c r="I16" i="10"/>
  <c r="I17" i="10"/>
  <c r="I18" i="10"/>
  <c r="I4" i="10"/>
  <c r="I5" i="10"/>
  <c r="I6" i="10"/>
  <c r="I7" i="10"/>
  <c r="I8" i="10"/>
  <c r="I9" i="10"/>
  <c r="I11" i="10"/>
  <c r="I12" i="10"/>
  <c r="I13" i="10"/>
  <c r="I2" i="10"/>
  <c r="I14" i="10"/>
  <c r="I3" i="10"/>
  <c r="I4" i="9"/>
  <c r="I6" i="9"/>
  <c r="I7" i="9"/>
  <c r="I8" i="9"/>
  <c r="I10" i="9"/>
  <c r="I3" i="9"/>
</calcChain>
</file>

<file path=xl/sharedStrings.xml><?xml version="1.0" encoding="utf-8"?>
<sst xmlns="http://schemas.openxmlformats.org/spreadsheetml/2006/main" count="1193" uniqueCount="285">
  <si>
    <t>TIPO</t>
  </si>
  <si>
    <t>VENDEDOR</t>
  </si>
  <si>
    <t>CLIENTE</t>
  </si>
  <si>
    <t>PROYECTO</t>
  </si>
  <si>
    <t>NO. PEDIDO</t>
  </si>
  <si>
    <t>FECHA</t>
  </si>
  <si>
    <t>DÍAS</t>
  </si>
  <si>
    <t>M</t>
  </si>
  <si>
    <t>MXN</t>
  </si>
  <si>
    <t>TOTAL</t>
  </si>
  <si>
    <t>PAGADO</t>
  </si>
  <si>
    <t>SALDO</t>
  </si>
  <si>
    <t>MONEDA</t>
  </si>
  <si>
    <t>CONCEPTO</t>
  </si>
  <si>
    <t>ALFOMBRA</t>
  </si>
  <si>
    <t>PERSIANAS</t>
  </si>
  <si>
    <t>STATUS</t>
  </si>
  <si>
    <t>COMENTARIOS</t>
  </si>
  <si>
    <t>ENTREGA / INSTALACIÓN</t>
  </si>
  <si>
    <t>ENTREGADO</t>
  </si>
  <si>
    <t>PENDIENTE</t>
  </si>
  <si>
    <t>COBRABLE</t>
  </si>
  <si>
    <t>POR COBRAR</t>
  </si>
  <si>
    <t>CONTACTO</t>
  </si>
  <si>
    <t>TEL</t>
  </si>
  <si>
    <t>CORREO</t>
  </si>
  <si>
    <t>USD</t>
  </si>
  <si>
    <t>Arq. Valeria López</t>
  </si>
  <si>
    <t>S</t>
  </si>
  <si>
    <t>INSTALACIÓN DUELA</t>
  </si>
  <si>
    <t>INSTALACIÓN ALFOMBRA</t>
  </si>
  <si>
    <t>Áreas no listas</t>
  </si>
  <si>
    <t>GAMO Desarrollos</t>
  </si>
  <si>
    <t>promotoragarza@prodigy.net.mx</t>
  </si>
  <si>
    <t>PISO VINILICO</t>
  </si>
  <si>
    <t>TRÁNSITO</t>
  </si>
  <si>
    <t>SERVICIO INSTALACIÓN</t>
  </si>
  <si>
    <t xml:space="preserve">Cuentasxpagar@haskell.com ; Valeria.Lopez@haskell.com </t>
  </si>
  <si>
    <t>TEMA CLIENTE</t>
  </si>
  <si>
    <t>Alejandra D</t>
  </si>
  <si>
    <t>CONTEXTO
MODULAR</t>
  </si>
  <si>
    <t>LAS
MISIONES
SUR</t>
  </si>
  <si>
    <t>Hugo, seguimiento con cliente</t>
  </si>
  <si>
    <t>INSTALACIÓN DECK</t>
  </si>
  <si>
    <t>MONICA
ESCAMILLA</t>
  </si>
  <si>
    <t>CARLOS MAYER</t>
  </si>
  <si>
    <t>INSTALACIÓN PERSIANAS</t>
  </si>
  <si>
    <t>Ricardo Treviño</t>
  </si>
  <si>
    <t>DUELA</t>
  </si>
  <si>
    <t>Abraham Agredano KERKUS</t>
  </si>
  <si>
    <t>Gabriela Santos</t>
  </si>
  <si>
    <t>INSTALACIÓN GPS DUELA</t>
  </si>
  <si>
    <t>Jorge Alvarez</t>
  </si>
  <si>
    <t>CORTINAS</t>
  </si>
  <si>
    <t>Material no ha llegado</t>
  </si>
  <si>
    <t>Daniela Mijares</t>
  </si>
  <si>
    <t>ATXK</t>
  </si>
  <si>
    <t>XIGNUX
PISO 6</t>
  </si>
  <si>
    <t>PISO CAUCHO</t>
  </si>
  <si>
    <t>Maribel del Castillo (Administrativos) Moises Alanis (Facturas)</t>
  </si>
  <si>
    <t>55 3690 3906</t>
  </si>
  <si>
    <t>antonio.alanis@atxk.com</t>
  </si>
  <si>
    <t>ITESM
TDD</t>
  </si>
  <si>
    <t>NEST</t>
  </si>
  <si>
    <t>VECTOR
INTERIOR</t>
  </si>
  <si>
    <t>WEST T 3</t>
  </si>
  <si>
    <t>WEST 4
PANEL
ACUSTICO</t>
  </si>
  <si>
    <t>COMEDOR
TS</t>
  </si>
  <si>
    <t>AJUSTE</t>
  </si>
  <si>
    <t>INSTALACIÓN PANEL ACUSTICO</t>
  </si>
  <si>
    <t>PANEL ACUSTICO</t>
  </si>
  <si>
    <t>INSTALACIÓN TAPIZ</t>
  </si>
  <si>
    <t>COMPAÑÍA
URBANIZADORA
TOP</t>
  </si>
  <si>
    <t>CCYF</t>
  </si>
  <si>
    <t>Lorena Rodriguez</t>
  </si>
  <si>
    <t>CARLOS FAZ</t>
  </si>
  <si>
    <t>EVEK</t>
  </si>
  <si>
    <t>Carlos Faz</t>
  </si>
  <si>
    <t>FG
ARQUITECTURA</t>
  </si>
  <si>
    <t>JAVELLY
ARQUITECTOS</t>
  </si>
  <si>
    <t>KARLA
DANIELA
VELASCO
CASTRO</t>
  </si>
  <si>
    <t>PRISCILA DE
LA GARZA</t>
  </si>
  <si>
    <t>UNIVERSAL
MUSIC</t>
  </si>
  <si>
    <t>OFICINAS
EN
RICARDO
MARGAIN</t>
  </si>
  <si>
    <t>RESIDENCIA
KARLA
VELASCO</t>
  </si>
  <si>
    <t>VENTUM -
PERSIANAS</t>
  </si>
  <si>
    <t>RESIDENCIA
PRISCILA
DE LA
GARZA</t>
  </si>
  <si>
    <t>Material NO ha llegado</t>
  </si>
  <si>
    <t>PISO BODEN</t>
  </si>
  <si>
    <t>Monica Escamilla</t>
  </si>
  <si>
    <t>ESCUADRAS PARA CORTINERO</t>
  </si>
  <si>
    <t>PAULINA
ANDRADE</t>
  </si>
  <si>
    <t>RESIDENCIA
ANDRADE</t>
  </si>
  <si>
    <t>Material pendiente por llegar</t>
  </si>
  <si>
    <t>Paulina Andrade</t>
  </si>
  <si>
    <t>BANREGIO /
ARQ. GERARDO
MARTINEZ
MIRANDA</t>
  </si>
  <si>
    <t>BOBCAT</t>
  </si>
  <si>
    <t>Juan Sillas</t>
  </si>
  <si>
    <t>MOLDURAS</t>
  </si>
  <si>
    <t>SE ENVÍO ESTADO DE CUENTA,  CONFIRMAN PAGO ANTES DE FINALIZAR MES</t>
  </si>
  <si>
    <t>MENTA</t>
  </si>
  <si>
    <t>SPACE</t>
  </si>
  <si>
    <t>INSTALACIÓN BODEN</t>
  </si>
  <si>
    <t>SE ESTA TRABAJANDO EN OBRA</t>
  </si>
  <si>
    <t>SE REALIZA INSTALACIÓN 11-DICIEMBRE</t>
  </si>
  <si>
    <t>PILAR
ORTEGON</t>
  </si>
  <si>
    <t>RESIDENCIA
PILAR
ORTEGON</t>
  </si>
  <si>
    <t>FABRICACIÓN DE ZOCLO</t>
  </si>
  <si>
    <t>PATRICIA
GAYTAN</t>
  </si>
  <si>
    <t xml:space="preserve">Paulina García </t>
  </si>
  <si>
    <t xml:space="preserve">PISO VINILICO </t>
  </si>
  <si>
    <t>DESINSTALACIÓN E INSTALACIÓN ALFOMBRA</t>
  </si>
  <si>
    <t>SERVICIOS ADMINISTRATIVOS</t>
  </si>
  <si>
    <t>ALFOMBRA Y AUTONIVELANTE</t>
  </si>
  <si>
    <t>INSTALACIÓN PISO Y AUTONIVELANTE</t>
  </si>
  <si>
    <t>DESINSTALACIÓN E INSTALACIÓN PISO V</t>
  </si>
  <si>
    <t>Michelle Lopez</t>
  </si>
  <si>
    <t>michelle.lopez@gpconstruccion.com.mx</t>
  </si>
  <si>
    <t>HABLAR CLIENTE PARA COBRO DEDUCTIVA NO APLICA</t>
  </si>
  <si>
    <t>Error de cuantificación de Mauro, ingresar pedido en otra cotización</t>
  </si>
  <si>
    <t>Pendiente confirmar pago / Seguimiento con Esther, en espera de respuesta</t>
  </si>
  <si>
    <t>Vendedor</t>
  </si>
  <si>
    <t>Cliente</t>
  </si>
  <si>
    <t>Descripción</t>
  </si>
  <si>
    <t>Check</t>
  </si>
  <si>
    <t>Rodrigo</t>
  </si>
  <si>
    <t xml:space="preserve">MAIZ </t>
  </si>
  <si>
    <t>AMISTAD</t>
  </si>
  <si>
    <t>Mauro</t>
  </si>
  <si>
    <t>Seguimiento para pago, cliente requiere la alfombra para febrero y programa pago para enero</t>
  </si>
  <si>
    <t>RICARDO TREVIÑO</t>
  </si>
  <si>
    <t>Comentarios</t>
  </si>
  <si>
    <t>Contacto</t>
  </si>
  <si>
    <t>Correo / Núm</t>
  </si>
  <si>
    <t>juan.ulloa@maiz.com / gerardo.moreno@maiz.com</t>
  </si>
  <si>
    <t xml:space="preserve">En espera de pago Se envío factura el 05-Dic AA 100431 $ 123,533.45 Deck
</t>
  </si>
  <si>
    <t>FINSA</t>
  </si>
  <si>
    <t>Cargar factura a portal, una vez que esten validados los doc cargados</t>
  </si>
  <si>
    <t>José Roberto Ávila</t>
  </si>
  <si>
    <t>rjimenezr@finsa.net / georgina.guevara@finsa.net / dagarza@finsa.net</t>
  </si>
  <si>
    <t>https://finsar.xternall.com/ords/f?p=159:LOGIN:11272888320804::YES:::</t>
  </si>
  <si>
    <t>Ing. Luis Magaña</t>
  </si>
  <si>
    <t>MONLONG</t>
  </si>
  <si>
    <t>URBANIA</t>
  </si>
  <si>
    <t>Se realizó pedido de Duela y Zoclo para correcciones P 8625 y 8626</t>
  </si>
  <si>
    <t>Cliente menciona que requiere que acudan para revisión por incoformidad de trabajo</t>
  </si>
  <si>
    <t>GABRIELA SANTOS</t>
  </si>
  <si>
    <t>Pendiente de terminar trabajos por error en medida de zoclo. Dani generó dos pedidos que cubriá ella el costo para terminar instalación 8625 y 8626 (Material en tránsito)</t>
  </si>
  <si>
    <t>JORGE ALVAREZ</t>
  </si>
  <si>
    <t>Al día 12-Diciembre acuden nuevamente para terminar de instalar el pasto</t>
  </si>
  <si>
    <t>RODRIGO YTURRIA</t>
  </si>
  <si>
    <t>Anet Yturria</t>
  </si>
  <si>
    <t>Pau</t>
  </si>
  <si>
    <t>Rodri</t>
  </si>
  <si>
    <t>Dani</t>
  </si>
  <si>
    <t>ANTONIO CASTAÑON</t>
  </si>
  <si>
    <t xml:space="preserve">Instalación terminada todo ok, se envía cobro a cliente </t>
  </si>
  <si>
    <t>Antonio Castañón</t>
  </si>
  <si>
    <t>DANIELA MIJARES</t>
  </si>
  <si>
    <t xml:space="preserve">Pendiente de terminar instalación (terminan 12-Dic) </t>
  </si>
  <si>
    <t>Esther</t>
  </si>
  <si>
    <t>GAYA</t>
  </si>
  <si>
    <t>CORNING
MONTERREY</t>
  </si>
  <si>
    <t>PISOVINILICO</t>
  </si>
  <si>
    <t>Instalación se realiza 05-06 Enero</t>
  </si>
  <si>
    <t xml:space="preserve">ATXK XIGNUX PISO 6 </t>
  </si>
  <si>
    <t xml:space="preserve">Instalación terminada pendiente de confirmar si todo ok se enviá cobro a cliente </t>
  </si>
  <si>
    <t xml:space="preserve">Seguimiento para cobro
</t>
  </si>
  <si>
    <t>Sandra</t>
  </si>
  <si>
    <t>Pendiente de terminar instalación para cobro</t>
  </si>
  <si>
    <r>
      <t xml:space="preserve">Hacer complemento de pago en Diverza y enviarlo al correo </t>
    </r>
    <r>
      <rPr>
        <b/>
        <i/>
        <sz val="11"/>
        <color theme="1"/>
        <rFont val="Aptos"/>
        <family val="2"/>
      </rPr>
      <t>masterbuilder@gaya.mx</t>
    </r>
  </si>
  <si>
    <t>COMPAÑÍA
URBANIZADORA TOP</t>
  </si>
  <si>
    <t>PENDIENTE LLEGAR MATERIAL DE LOS OTROS PEDIDOS</t>
  </si>
  <si>
    <t xml:space="preserve">Seguimiento para entrega de material 02- Enero e Instalación 05 - Enero  </t>
  </si>
  <si>
    <t>Isela</t>
  </si>
  <si>
    <t>Seguimiento a cobro y programación de entrega (Material ya llegó) Lunes quedó en pagar</t>
  </si>
  <si>
    <t>juan.sillas@banregio.com</t>
  </si>
  <si>
    <t>https://gr.4gds.biz/inbox</t>
  </si>
  <si>
    <t xml:space="preserve">Se envío correo a Juan para seguimiento del caso, ya se cargó la factura al portal para pago
</t>
  </si>
  <si>
    <t>COE CREACIÓN DE
OBRAS Y
ESPACIOS</t>
  </si>
  <si>
    <t>Raul Martinez / 8118220478 para temas de horarios del edificio</t>
  </si>
  <si>
    <t>LOM</t>
  </si>
  <si>
    <t>Pedidos 6513 y 6527 seguimiento para presionar y que envíen la solicitud de factura, facturar y enviarla</t>
  </si>
  <si>
    <t xml:space="preserve">Zahira de Santiago </t>
  </si>
  <si>
    <t>Yaneth Ibarra</t>
  </si>
  <si>
    <t xml:space="preserve">Entrega e instalación de Persianas Pedido 8410, lo estoy revisando con Yaneth
</t>
  </si>
  <si>
    <t>Material ya en bodega, el cliente paga el próximo viernes después de ese día se puedo programar entrega</t>
  </si>
  <si>
    <t xml:space="preserve"> </t>
  </si>
  <si>
    <t>MERIDANAM VOLVO</t>
  </si>
  <si>
    <t>descuento programado para el mes de febrero</t>
  </si>
  <si>
    <t>Hugo, seguimiento con cliente,COMISIONES</t>
  </si>
  <si>
    <t>ADHESIVO</t>
  </si>
  <si>
    <t>INSTALACION DE ALFOMBRA</t>
  </si>
  <si>
    <t>ELIZABETH JULIAN</t>
  </si>
  <si>
    <t>ZOCLO + ADHESIVO</t>
  </si>
  <si>
    <t>Elizabeth Lujan</t>
  </si>
  <si>
    <t>08/01/2026</t>
  </si>
  <si>
    <t>ALFOMBRA Y PISO VINILICO</t>
  </si>
  <si>
    <t>INSTALACION PISO+ INSTALACION ALFOMBRAS</t>
  </si>
  <si>
    <t>anticipo, material pendiente de llegada</t>
  </si>
  <si>
    <t>JOSE CARLOS TORRES</t>
  </si>
  <si>
    <t>16/01/2026</t>
  </si>
  <si>
    <t>Jose Carlos Torres</t>
  </si>
  <si>
    <t>LOM 
EXTENSION 
EMPAQUE</t>
  </si>
  <si>
    <t>CONSTRUCTORA 
GARZA  PONCE 
SA DE CV</t>
  </si>
  <si>
    <t>GABRIELA  
SANTOS</t>
  </si>
  <si>
    <t>DESCUENTO PENDIENTE</t>
  </si>
  <si>
    <t>GUSTAVO MARTINEZ ARQUITECTOS</t>
  </si>
  <si>
    <t>ANDALUCIA 104</t>
  </si>
  <si>
    <t>27/01/2026</t>
  </si>
  <si>
    <t>cliente pagara 1° semana de febrero, anticipo, material pendiente de llegada</t>
  </si>
  <si>
    <t>Andrea Torres</t>
  </si>
  <si>
    <t>TRANSITO</t>
  </si>
  <si>
    <t>DANIELA 
CABALLERO</t>
  </si>
  <si>
    <t>RESIDENCIA 
GABRIELA
 SANTOS</t>
  </si>
  <si>
    <t>EDIFICACIONES 
AMISTAD</t>
  </si>
  <si>
    <t>GAMO 
DESARROLLOS 
SA DE CV</t>
  </si>
  <si>
    <t>THE HASKELL 
COMPANY DE 
MEXICO  S. DE 
RL. DE CV</t>
  </si>
  <si>
    <t>AMISTAD 
JOHN DEERE 
RAMOS 
ARIZPE</t>
  </si>
  <si>
    <t>INTUITIVE 
88.3 ISI</t>
  </si>
  <si>
    <t>TORRE 
COMERCIAL
 AMERICA</t>
  </si>
  <si>
    <t xml:space="preserve">contactarlo para la semana del 9 de febrero </t>
  </si>
  <si>
    <t xml:space="preserve">seguimiento, se le compartieron montos de materiales y 60% de anticipo de servicios </t>
  </si>
  <si>
    <t>PARQUE INDUSTRIAL KALOS</t>
  </si>
  <si>
    <t>CASA DE CAMPO ALMA ESPINO</t>
  </si>
  <si>
    <t>SERVICIO DE INSTALACION</t>
  </si>
  <si>
    <t>RUGS AND HOME</t>
  </si>
  <si>
    <t>CALLEJON DE LOS ARIZPE</t>
  </si>
  <si>
    <t>MATERIAL</t>
  </si>
  <si>
    <t>SIN OC</t>
  </si>
  <si>
    <t xml:space="preserve">ESPERAR A QUE EL CLIENTE NOS CONTACTE, REVISAR EL TEMA DE VUELTAS Y METROS INSTALADOS </t>
  </si>
  <si>
    <t>NO HA LLEGADO</t>
  </si>
  <si>
    <t>EDIFICACIONES  AMISTAD</t>
  </si>
  <si>
    <t>PEDIDO</t>
  </si>
  <si>
    <t>COBRABLE   TRANSITO</t>
  </si>
  <si>
    <t>POR PAGAR</t>
  </si>
  <si>
    <t>MN</t>
  </si>
  <si>
    <t>Columna2</t>
  </si>
  <si>
    <t xml:space="preserve">CONTACTO </t>
  </si>
  <si>
    <t>TELEFONO</t>
  </si>
  <si>
    <t>FECHA ACTUALIZACION</t>
  </si>
  <si>
    <t>Columna1</t>
  </si>
  <si>
    <t>CLAUDIA</t>
  </si>
  <si>
    <t>THE BECK GROUP</t>
  </si>
  <si>
    <t>VENTUM PUNTO CENTRAL</t>
  </si>
  <si>
    <t>SERVICIO</t>
  </si>
  <si>
    <t>JESUS</t>
  </si>
  <si>
    <t>HOTEL JW MARRIOT</t>
  </si>
  <si>
    <t>MANTENIMIENTO HOTEL JW</t>
  </si>
  <si>
    <t>FDG</t>
  </si>
  <si>
    <t>VER QUIEN LO VA A PAGAR</t>
  </si>
  <si>
    <t>ADITIVA</t>
  </si>
  <si>
    <t>ZOCLO EXTRA</t>
  </si>
  <si>
    <t>TRABAJO PAUSADO</t>
  </si>
  <si>
    <t>NO TIENE AREA LISTA</t>
  </si>
  <si>
    <t>VIATICOS SIN OC</t>
  </si>
  <si>
    <t>094-B</t>
  </si>
  <si>
    <t>TRABAJANDO</t>
  </si>
  <si>
    <t>094-D</t>
  </si>
  <si>
    <t>094E</t>
  </si>
  <si>
    <t>094D</t>
  </si>
  <si>
    <t>094A</t>
  </si>
  <si>
    <t>094C</t>
  </si>
  <si>
    <t>094B</t>
  </si>
  <si>
    <t xml:space="preserve">094-B </t>
  </si>
  <si>
    <t>25/26/26</t>
  </si>
  <si>
    <t>LEGO 3 MOLDING</t>
  </si>
  <si>
    <t xml:space="preserve">PENDIENTE RECIBO DE ENTERGA PARA ENVIAR FACTURA </t>
  </si>
  <si>
    <t>UCALLI</t>
  </si>
  <si>
    <t>FALTA CONTRATO</t>
  </si>
  <si>
    <t>094F</t>
  </si>
  <si>
    <t>SE SOLICITO AL CLIENTE PAGO POR $160,000.00 PERO EL GERENTE NO HA ACEPTADO NI HA QUERIDO RECIBIR A JESUS G.</t>
  </si>
  <si>
    <t>SE ENVIO ESTIMACION AL 100</t>
  </si>
  <si>
    <t>SE ENVIO ESTIMACION AL 100%</t>
  </si>
  <si>
    <t>PENDIENTE EVIDENCIA DE ENTREGA PARA PODER COBRAR</t>
  </si>
  <si>
    <t>SIGNUM BIENES RAICES</t>
  </si>
  <si>
    <t>RESIDENCIA SABINAS COAHUILA</t>
  </si>
  <si>
    <t>AUN NO LLEGA</t>
  </si>
  <si>
    <t>NO SE HA PROGRAMADO</t>
  </si>
  <si>
    <t>SE CARGO NUEVAMENTE LA FACTURA EN FIN DE MES DE AGOSTO</t>
  </si>
  <si>
    <t>CONTRTO ORIGINAL FDG</t>
  </si>
  <si>
    <t>SE CARGO NUEVAMENTE LA FACTURA EN FIN DE MES DE AGOSTO, SE VOLVIO A ENVIAR FACTURA 21 SEP</t>
  </si>
  <si>
    <t>SE ENVIO FACTURA</t>
  </si>
  <si>
    <t xml:space="preserve">EN ESPERA DE HACER AJUSTES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</si>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</sst>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0"/>
      <name val="Aptos Display"/>
      <family val="2"/>
    </font>
    <font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ptos"/>
      <family val="2"/>
    </font>
    <font>
      <u/>
      <sz val="11"/>
      <color theme="10"/>
      <name val="Aptos"/>
      <family val="2"/>
    </font>
    <font>
      <b/>
      <sz val="11"/>
      <color theme="0"/>
      <name val="Aptos"/>
      <family val="2"/>
    </font>
    <font>
      <b/>
      <i/>
      <sz val="11"/>
      <color theme="1"/>
      <name val="Aptos"/>
      <family val="2"/>
    </font>
    <font>
      <b/>
      <sz val="11"/>
      <color rgb="FFFF0000"/>
      <name val="Apto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/>
    <xf numFmtId="44" fontId="5" fillId="0" borderId="1" xfId="1" applyFont="1" applyBorder="1"/>
    <xf numFmtId="0" fontId="8" fillId="0" borderId="2" xfId="2" applyFont="1" applyBorder="1"/>
    <xf numFmtId="0" fontId="5" fillId="0" borderId="2" xfId="0" applyFont="1" applyBorder="1"/>
    <xf numFmtId="0" fontId="6" fillId="0" borderId="1" xfId="2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0" fontId="7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14" fontId="5" fillId="0" borderId="4" xfId="0" applyNumberFormat="1" applyFont="1" applyBorder="1"/>
    <xf numFmtId="44" fontId="5" fillId="0" borderId="4" xfId="1" applyFont="1" applyBorder="1"/>
    <xf numFmtId="0" fontId="3" fillId="0" borderId="3" xfId="0" applyFont="1" applyBorder="1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4" fontId="4" fillId="3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/>
    </xf>
    <xf numFmtId="0" fontId="8" fillId="0" borderId="1" xfId="2" applyFont="1" applyBorder="1"/>
    <xf numFmtId="14" fontId="5" fillId="0" borderId="1" xfId="0" applyNumberFormat="1" applyFont="1" applyBorder="1" applyAlignment="1">
      <alignment horizontal="center"/>
    </xf>
    <xf numFmtId="0" fontId="9" fillId="4" borderId="0" xfId="0" applyFont="1" applyFill="1" applyAlignment="1">
      <alignment horizontal="center" vertical="center" wrapText="1"/>
    </xf>
    <xf numFmtId="0" fontId="6" fillId="0" borderId="0" xfId="2"/>
    <xf numFmtId="44" fontId="5" fillId="0" borderId="1" xfId="1" applyFont="1" applyFill="1" applyBorder="1"/>
    <xf numFmtId="44" fontId="5" fillId="0" borderId="4" xfId="1" applyFont="1" applyFill="1" applyBorder="1"/>
    <xf numFmtId="0" fontId="7" fillId="5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7" fillId="0" borderId="5" xfId="0" applyFont="1" applyBorder="1"/>
    <xf numFmtId="0" fontId="6" fillId="0" borderId="5" xfId="2" applyBorder="1"/>
    <xf numFmtId="0" fontId="7" fillId="6" borderId="5" xfId="0" applyFont="1" applyFill="1" applyBorder="1"/>
    <xf numFmtId="0" fontId="7" fillId="6" borderId="5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7" fillId="6" borderId="5" xfId="0" applyFont="1" applyFill="1" applyBorder="1" applyAlignment="1">
      <alignment vertical="center" wrapText="1"/>
    </xf>
    <xf numFmtId="0" fontId="7" fillId="7" borderId="5" xfId="0" applyFont="1" applyFill="1" applyBorder="1"/>
    <xf numFmtId="0" fontId="7" fillId="5" borderId="5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5" xfId="0" applyBorder="1"/>
    <xf numFmtId="0" fontId="7" fillId="8" borderId="5" xfId="0" applyFont="1" applyFill="1" applyBorder="1" applyAlignment="1">
      <alignment vertical="center" wrapText="1"/>
    </xf>
    <xf numFmtId="0" fontId="7" fillId="9" borderId="5" xfId="0" applyFont="1" applyFill="1" applyBorder="1"/>
    <xf numFmtId="0" fontId="7" fillId="10" borderId="5" xfId="0" applyFont="1" applyFill="1" applyBorder="1"/>
    <xf numFmtId="0" fontId="7" fillId="8" borderId="5" xfId="0" applyFont="1" applyFill="1" applyBorder="1"/>
    <xf numFmtId="14" fontId="0" fillId="0" borderId="1" xfId="0" applyNumberFormat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5" fillId="11" borderId="1" xfId="0" applyFont="1" applyFill="1" applyBorder="1"/>
    <xf numFmtId="0" fontId="7" fillId="12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1" fillId="12" borderId="1" xfId="0" applyFont="1" applyFill="1" applyBorder="1" applyAlignment="1">
      <alignment horizontal="center"/>
    </xf>
    <xf numFmtId="44" fontId="4" fillId="3" borderId="3" xfId="1" applyFont="1" applyFill="1" applyBorder="1" applyAlignment="1">
      <alignment horizontal="center" vertical="center" wrapText="1"/>
    </xf>
    <xf numFmtId="44" fontId="0" fillId="0" borderId="1" xfId="1" applyFont="1" applyFill="1" applyBorder="1"/>
    <xf numFmtId="0" fontId="0" fillId="0" borderId="0" xfId="0" applyAlignment="1">
      <alignment horizontal="center" vertical="center"/>
    </xf>
    <xf numFmtId="44" fontId="12" fillId="0" borderId="0" xfId="3" applyFont="1" applyFill="1" applyBorder="1" applyAlignment="1">
      <alignment horizontal="center" vertical="center"/>
    </xf>
    <xf numFmtId="164" fontId="12" fillId="0" borderId="0" xfId="3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44" fontId="13" fillId="0" borderId="0" xfId="3" applyFont="1" applyBorder="1" applyAlignment="1" applyProtection="1">
      <alignment horizontal="center" vertical="center"/>
      <protection locked="0"/>
    </xf>
    <xf numFmtId="44" fontId="13" fillId="0" borderId="0" xfId="3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44" fontId="12" fillId="0" borderId="0" xfId="3" applyFont="1" applyBorder="1" applyAlignment="1" applyProtection="1">
      <alignment horizontal="center" vertical="center"/>
      <protection locked="0"/>
    </xf>
    <xf numFmtId="44" fontId="12" fillId="0" borderId="0" xfId="3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44" fontId="0" fillId="0" borderId="1" xfId="1" applyFont="1" applyFill="1" applyBorder="1" applyAlignment="1"/>
    <xf numFmtId="44" fontId="0" fillId="0" borderId="0" xfId="0" applyNumberFormat="1"/>
    <xf numFmtId="0" fontId="15" fillId="0" borderId="1" xfId="0" applyFont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/>
    <xf numFmtId="0" fontId="7" fillId="14" borderId="1" xfId="0" applyFont="1" applyFill="1" applyBorder="1" applyAlignment="1">
      <alignment horizontal="center"/>
    </xf>
    <xf numFmtId="0" fontId="4" fillId="15" borderId="3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44" fontId="5" fillId="0" borderId="1" xfId="1" applyFont="1" applyFill="1" applyBorder="1" applyAlignment="1">
      <alignment horizontal="center"/>
    </xf>
    <xf numFmtId="44" fontId="5" fillId="0" borderId="4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 wrapText="1"/>
    </xf>
  </cellXfs>
  <cellStyles count="5">
    <cellStyle name="Hipervínculo" xfId="2" builtinId="8"/>
    <cellStyle name="Moneda" xfId="1" builtinId="4"/>
    <cellStyle name="Moneda 2" xfId="4" xr:uid="{D4A1A869-0845-4402-93EF-E89CADC58469}"/>
    <cellStyle name="Moneda 3" xfId="3" xr:uid="{175D92E4-17BE-4E9F-B1FD-E106625E5F7E}"/>
    <cellStyle name="Normal" xfId="0" builtinId="0"/>
  </cellStyles>
  <dxfs count="108"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FF33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33CCCC"/>
        </patternFill>
      </fill>
    </dxf>
    <dxf>
      <font>
        <b/>
        <i val="0"/>
        <color rgb="FF00CC00"/>
      </font>
    </dxf>
    <dxf>
      <font>
        <b/>
        <i val="0"/>
        <color rgb="FFFF6600"/>
      </font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  <color rgb="FF66FF33"/>
      <color rgb="FFFF6600"/>
      <color rgb="FF00FF00"/>
      <color rgb="FFFF9999"/>
      <color rgb="FFFF7C80"/>
      <color rgb="FF9900FF"/>
      <color rgb="FFFF0066"/>
      <color rgb="FF9966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15</xdr:row>
          <xdr:rowOff>0</xdr:rowOff>
        </xdr:from>
        <xdr:to>
          <xdr:col>3</xdr:col>
          <xdr:colOff>518160</xdr:colOff>
          <xdr:row>18</xdr:row>
          <xdr:rowOff>76200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8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15</xdr:row>
          <xdr:rowOff>365760</xdr:rowOff>
        </xdr:from>
        <xdr:to>
          <xdr:col>3</xdr:col>
          <xdr:colOff>518160</xdr:colOff>
          <xdr:row>19</xdr:row>
          <xdr:rowOff>30480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8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16</xdr:row>
          <xdr:rowOff>365760</xdr:rowOff>
        </xdr:from>
        <xdr:to>
          <xdr:col>3</xdr:col>
          <xdr:colOff>518160</xdr:colOff>
          <xdr:row>18</xdr:row>
          <xdr:rowOff>30480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8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17</xdr:row>
          <xdr:rowOff>365760</xdr:rowOff>
        </xdr:from>
        <xdr:to>
          <xdr:col>3</xdr:col>
          <xdr:colOff>518160</xdr:colOff>
          <xdr:row>19</xdr:row>
          <xdr:rowOff>30480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8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18</xdr:row>
          <xdr:rowOff>365760</xdr:rowOff>
        </xdr:from>
        <xdr:to>
          <xdr:col>3</xdr:col>
          <xdr:colOff>518160</xdr:colOff>
          <xdr:row>20</xdr:row>
          <xdr:rowOff>30480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8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0</xdr:row>
          <xdr:rowOff>365760</xdr:rowOff>
        </xdr:from>
        <xdr:to>
          <xdr:col>3</xdr:col>
          <xdr:colOff>518160</xdr:colOff>
          <xdr:row>2</xdr:row>
          <xdr:rowOff>30480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8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</xdr:row>
          <xdr:rowOff>365760</xdr:rowOff>
        </xdr:from>
        <xdr:to>
          <xdr:col>3</xdr:col>
          <xdr:colOff>518160</xdr:colOff>
          <xdr:row>3</xdr:row>
          <xdr:rowOff>30480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8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2</xdr:row>
          <xdr:rowOff>365760</xdr:rowOff>
        </xdr:from>
        <xdr:to>
          <xdr:col>3</xdr:col>
          <xdr:colOff>518160</xdr:colOff>
          <xdr:row>4</xdr:row>
          <xdr:rowOff>30480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8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5</xdr:row>
          <xdr:rowOff>0</xdr:rowOff>
        </xdr:from>
        <xdr:to>
          <xdr:col>3</xdr:col>
          <xdr:colOff>518160</xdr:colOff>
          <xdr:row>6</xdr:row>
          <xdr:rowOff>30480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8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5</xdr:row>
          <xdr:rowOff>365760</xdr:rowOff>
        </xdr:from>
        <xdr:to>
          <xdr:col>3</xdr:col>
          <xdr:colOff>518160</xdr:colOff>
          <xdr:row>7</xdr:row>
          <xdr:rowOff>30480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8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5</xdr:row>
          <xdr:rowOff>365760</xdr:rowOff>
        </xdr:from>
        <xdr:to>
          <xdr:col>3</xdr:col>
          <xdr:colOff>518160</xdr:colOff>
          <xdr:row>7</xdr:row>
          <xdr:rowOff>30480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8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365760</xdr:rowOff>
        </xdr:from>
        <xdr:to>
          <xdr:col>3</xdr:col>
          <xdr:colOff>518160</xdr:colOff>
          <xdr:row>8</xdr:row>
          <xdr:rowOff>30480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8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365760</xdr:rowOff>
        </xdr:from>
        <xdr:to>
          <xdr:col>3</xdr:col>
          <xdr:colOff>518160</xdr:colOff>
          <xdr:row>8</xdr:row>
          <xdr:rowOff>30480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8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365760</xdr:rowOff>
        </xdr:from>
        <xdr:to>
          <xdr:col>3</xdr:col>
          <xdr:colOff>518160</xdr:colOff>
          <xdr:row>8</xdr:row>
          <xdr:rowOff>30480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8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365760</xdr:rowOff>
        </xdr:from>
        <xdr:to>
          <xdr:col>3</xdr:col>
          <xdr:colOff>518160</xdr:colOff>
          <xdr:row>9</xdr:row>
          <xdr:rowOff>30480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8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365760</xdr:rowOff>
        </xdr:from>
        <xdr:to>
          <xdr:col>3</xdr:col>
          <xdr:colOff>518160</xdr:colOff>
          <xdr:row>9</xdr:row>
          <xdr:rowOff>30480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8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365760</xdr:rowOff>
        </xdr:from>
        <xdr:to>
          <xdr:col>3</xdr:col>
          <xdr:colOff>518160</xdr:colOff>
          <xdr:row>9</xdr:row>
          <xdr:rowOff>30480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8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365760</xdr:rowOff>
        </xdr:from>
        <xdr:to>
          <xdr:col>3</xdr:col>
          <xdr:colOff>518160</xdr:colOff>
          <xdr:row>9</xdr:row>
          <xdr:rowOff>30480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8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365760</xdr:rowOff>
        </xdr:from>
        <xdr:to>
          <xdr:col>3</xdr:col>
          <xdr:colOff>518160</xdr:colOff>
          <xdr:row>10</xdr:row>
          <xdr:rowOff>30480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8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365760</xdr:rowOff>
        </xdr:from>
        <xdr:to>
          <xdr:col>3</xdr:col>
          <xdr:colOff>518160</xdr:colOff>
          <xdr:row>10</xdr:row>
          <xdr:rowOff>30480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8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365760</xdr:rowOff>
        </xdr:from>
        <xdr:to>
          <xdr:col>3</xdr:col>
          <xdr:colOff>518160</xdr:colOff>
          <xdr:row>10</xdr:row>
          <xdr:rowOff>30480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8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365760</xdr:rowOff>
        </xdr:from>
        <xdr:to>
          <xdr:col>3</xdr:col>
          <xdr:colOff>518160</xdr:colOff>
          <xdr:row>10</xdr:row>
          <xdr:rowOff>30480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8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365760</xdr:rowOff>
        </xdr:from>
        <xdr:to>
          <xdr:col>3</xdr:col>
          <xdr:colOff>518160</xdr:colOff>
          <xdr:row>11</xdr:row>
          <xdr:rowOff>30480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8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365760</xdr:rowOff>
        </xdr:from>
        <xdr:to>
          <xdr:col>3</xdr:col>
          <xdr:colOff>518160</xdr:colOff>
          <xdr:row>11</xdr:row>
          <xdr:rowOff>30480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8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365760</xdr:rowOff>
        </xdr:from>
        <xdr:to>
          <xdr:col>3</xdr:col>
          <xdr:colOff>518160</xdr:colOff>
          <xdr:row>11</xdr:row>
          <xdr:rowOff>30480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8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365760</xdr:rowOff>
        </xdr:from>
        <xdr:to>
          <xdr:col>3</xdr:col>
          <xdr:colOff>518160</xdr:colOff>
          <xdr:row>11</xdr:row>
          <xdr:rowOff>30480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8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365760</xdr:rowOff>
        </xdr:from>
        <xdr:to>
          <xdr:col>3</xdr:col>
          <xdr:colOff>518160</xdr:colOff>
          <xdr:row>11</xdr:row>
          <xdr:rowOff>30480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8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365760</xdr:rowOff>
        </xdr:from>
        <xdr:to>
          <xdr:col>3</xdr:col>
          <xdr:colOff>518160</xdr:colOff>
          <xdr:row>11</xdr:row>
          <xdr:rowOff>30480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8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365760</xdr:rowOff>
        </xdr:from>
        <xdr:to>
          <xdr:col>3</xdr:col>
          <xdr:colOff>518160</xdr:colOff>
          <xdr:row>11</xdr:row>
          <xdr:rowOff>30480</xdr:rowOff>
        </xdr:to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8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365760</xdr:rowOff>
        </xdr:from>
        <xdr:to>
          <xdr:col>3</xdr:col>
          <xdr:colOff>518160</xdr:colOff>
          <xdr:row>11</xdr:row>
          <xdr:rowOff>30480</xdr:rowOff>
        </xdr:to>
        <xdr:sp macro="" textlink=""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8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8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8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8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1" name="Check Box 37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8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8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8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8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8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6" name="Check Box 42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8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7" name="Check Box 43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8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8" name="Check Box 44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8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09" name="Check Box 45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8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10</xdr:row>
          <xdr:rowOff>365760</xdr:rowOff>
        </xdr:from>
        <xdr:to>
          <xdr:col>3</xdr:col>
          <xdr:colOff>518160</xdr:colOff>
          <xdr:row>12</xdr:row>
          <xdr:rowOff>30480</xdr:rowOff>
        </xdr:to>
        <xdr:sp macro="" textlink="">
          <xdr:nvSpPr>
            <xdr:cNvPr id="11310" name="Check Box 46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8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11" name="Check Box 47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8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12" name="Check Box 48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8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13" name="Check Box 49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8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14" name="Check Box 50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8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15" name="Check Box 51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8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16" name="Check Box 52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8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17" name="Check Box 53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8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18" name="Check Box 54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8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19" name="Check Box 55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8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20" name="Check Box 56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8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21" name="Check Box 57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8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22" name="Check Box 58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8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23" name="Check Box 59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8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24" name="Check Box 60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8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25" name="Check Box 61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8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26" name="Check Box 62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8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11</xdr:row>
          <xdr:rowOff>365760</xdr:rowOff>
        </xdr:from>
        <xdr:to>
          <xdr:col>3</xdr:col>
          <xdr:colOff>518160</xdr:colOff>
          <xdr:row>13</xdr:row>
          <xdr:rowOff>30480</xdr:rowOff>
        </xdr:to>
        <xdr:sp macro="" textlink="">
          <xdr:nvSpPr>
            <xdr:cNvPr id="11327" name="Check Box 63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8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28" name="Check Box 64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8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29" name="Check Box 65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00000000-0008-0000-0800-00004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0" name="Check Box 66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00000000-0008-0000-0800-00004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1" name="Check Box 67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00000000-0008-0000-0800-00004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2" name="Check Box 68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00000000-0008-0000-0800-00004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3" name="Check Box 69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00000000-0008-0000-0800-00004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4" name="Check Box 70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8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5" name="Check Box 71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8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6" name="Check Box 72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8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7" name="Check Box 73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8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8" name="Check Box 74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8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39" name="Check Box 75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8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40" name="Check Box 76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00000000-0008-0000-0800-00004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41" name="Check Box 77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00000000-0008-0000-0800-00004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42" name="Check Box 78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00000000-0008-0000-0800-00004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43" name="Check Box 79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8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44" name="Check Box 80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8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45" name="Check Box 81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8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46" name="Check Box 82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8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47" name="Check Box 83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8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12</xdr:row>
          <xdr:rowOff>365760</xdr:rowOff>
        </xdr:from>
        <xdr:to>
          <xdr:col>3</xdr:col>
          <xdr:colOff>518160</xdr:colOff>
          <xdr:row>14</xdr:row>
          <xdr:rowOff>30480</xdr:rowOff>
        </xdr:to>
        <xdr:sp macro="" textlink="">
          <xdr:nvSpPr>
            <xdr:cNvPr id="11348" name="Check Box 84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8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13</xdr:row>
          <xdr:rowOff>365760</xdr:rowOff>
        </xdr:from>
        <xdr:to>
          <xdr:col>3</xdr:col>
          <xdr:colOff>518160</xdr:colOff>
          <xdr:row>15</xdr:row>
          <xdr:rowOff>30480</xdr:rowOff>
        </xdr:to>
        <xdr:sp macro="" textlink="">
          <xdr:nvSpPr>
            <xdr:cNvPr id="11349" name="Check Box 85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8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13</xdr:row>
          <xdr:rowOff>365760</xdr:rowOff>
        </xdr:from>
        <xdr:to>
          <xdr:col>3</xdr:col>
          <xdr:colOff>518160</xdr:colOff>
          <xdr:row>15</xdr:row>
          <xdr:rowOff>30480</xdr:rowOff>
        </xdr:to>
        <xdr:sp macro="" textlink="">
          <xdr:nvSpPr>
            <xdr:cNvPr id="11350" name="Check Box 86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8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13</xdr:row>
          <xdr:rowOff>365760</xdr:rowOff>
        </xdr:from>
        <xdr:to>
          <xdr:col>3</xdr:col>
          <xdr:colOff>518160</xdr:colOff>
          <xdr:row>15</xdr:row>
          <xdr:rowOff>30480</xdr:rowOff>
        </xdr:to>
        <xdr:sp macro="" textlink="">
          <xdr:nvSpPr>
            <xdr:cNvPr id="11351" name="Check Box 87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8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13</xdr:row>
          <xdr:rowOff>365760</xdr:rowOff>
        </xdr:from>
        <xdr:to>
          <xdr:col>3</xdr:col>
          <xdr:colOff>518160</xdr:colOff>
          <xdr:row>15</xdr:row>
          <xdr:rowOff>30480</xdr:rowOff>
        </xdr:to>
        <xdr:sp macro="" textlink="">
          <xdr:nvSpPr>
            <xdr:cNvPr id="11352" name="Check Box 88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8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2</xdr:row>
          <xdr:rowOff>365760</xdr:rowOff>
        </xdr:from>
        <xdr:to>
          <xdr:col>3</xdr:col>
          <xdr:colOff>518160</xdr:colOff>
          <xdr:row>4</xdr:row>
          <xdr:rowOff>30480</xdr:rowOff>
        </xdr:to>
        <xdr:sp macro="" textlink="">
          <xdr:nvSpPr>
            <xdr:cNvPr id="11353" name="Check Box 89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8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3</xdr:row>
          <xdr:rowOff>365760</xdr:rowOff>
        </xdr:from>
        <xdr:to>
          <xdr:col>3</xdr:col>
          <xdr:colOff>518160</xdr:colOff>
          <xdr:row>5</xdr:row>
          <xdr:rowOff>30480</xdr:rowOff>
        </xdr:to>
        <xdr:sp macro="" textlink="">
          <xdr:nvSpPr>
            <xdr:cNvPr id="11354" name="Check Box 90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8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ichelle.lopez@gpconstruccion.com.m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ichelle.lopez@gpconstruccion.com.mx" TargetMode="External"/><Relationship Id="rId1" Type="http://schemas.openxmlformats.org/officeDocument/2006/relationships/hyperlink" Target="https://sistema.cacheinteriores.com/projects/db672f8c-3276-43db-bee9-1ad91d3cb188" TargetMode="External"/><Relationship Id="rId6" Type="http://schemas.openxmlformats.org/officeDocument/2006/relationships/hyperlink" Target="mailto:michelle.lopez@gpconstruccion.com.mx" TargetMode="External"/><Relationship Id="rId5" Type="http://schemas.openxmlformats.org/officeDocument/2006/relationships/hyperlink" Target="mailto:michelle.lopez@gpconstruccion.com.mx" TargetMode="External"/><Relationship Id="rId4" Type="http://schemas.openxmlformats.org/officeDocument/2006/relationships/hyperlink" Target="mailto:michelle.lopez@gpconstruccion.com.mx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1.xml"/><Relationship Id="rId21" Type="http://schemas.openxmlformats.org/officeDocument/2006/relationships/ctrlProp" Target="../ctrlProps/ctrlProp16.xml"/><Relationship Id="rId42" Type="http://schemas.openxmlformats.org/officeDocument/2006/relationships/ctrlProp" Target="../ctrlProps/ctrlProp37.xml"/><Relationship Id="rId47" Type="http://schemas.openxmlformats.org/officeDocument/2006/relationships/ctrlProp" Target="../ctrlProps/ctrlProp42.xml"/><Relationship Id="rId63" Type="http://schemas.openxmlformats.org/officeDocument/2006/relationships/ctrlProp" Target="../ctrlProps/ctrlProp58.xml"/><Relationship Id="rId68" Type="http://schemas.openxmlformats.org/officeDocument/2006/relationships/ctrlProp" Target="../ctrlProps/ctrlProp63.xml"/><Relationship Id="rId84" Type="http://schemas.openxmlformats.org/officeDocument/2006/relationships/ctrlProp" Target="../ctrlProps/ctrlProp79.xml"/><Relationship Id="rId89" Type="http://schemas.openxmlformats.org/officeDocument/2006/relationships/ctrlProp" Target="../ctrlProps/ctrlProp84.xml"/><Relationship Id="rId16" Type="http://schemas.openxmlformats.org/officeDocument/2006/relationships/ctrlProp" Target="../ctrlProps/ctrlProp11.xml"/><Relationship Id="rId11" Type="http://schemas.openxmlformats.org/officeDocument/2006/relationships/ctrlProp" Target="../ctrlProps/ctrlProp6.xml"/><Relationship Id="rId32" Type="http://schemas.openxmlformats.org/officeDocument/2006/relationships/ctrlProp" Target="../ctrlProps/ctrlProp27.xml"/><Relationship Id="rId37" Type="http://schemas.openxmlformats.org/officeDocument/2006/relationships/ctrlProp" Target="../ctrlProps/ctrlProp32.xml"/><Relationship Id="rId53" Type="http://schemas.openxmlformats.org/officeDocument/2006/relationships/ctrlProp" Target="../ctrlProps/ctrlProp48.xml"/><Relationship Id="rId58" Type="http://schemas.openxmlformats.org/officeDocument/2006/relationships/ctrlProp" Target="../ctrlProps/ctrlProp53.xml"/><Relationship Id="rId74" Type="http://schemas.openxmlformats.org/officeDocument/2006/relationships/ctrlProp" Target="../ctrlProps/ctrlProp69.xml"/><Relationship Id="rId79" Type="http://schemas.openxmlformats.org/officeDocument/2006/relationships/ctrlProp" Target="../ctrlProps/ctrlProp74.xml"/><Relationship Id="rId5" Type="http://schemas.openxmlformats.org/officeDocument/2006/relationships/vmlDrawing" Target="../drawings/vmlDrawing1.vml"/><Relationship Id="rId90" Type="http://schemas.openxmlformats.org/officeDocument/2006/relationships/ctrlProp" Target="../ctrlProps/ctrlProp85.xml"/><Relationship Id="rId14" Type="http://schemas.openxmlformats.org/officeDocument/2006/relationships/ctrlProp" Target="../ctrlProps/ctrlProp9.xml"/><Relationship Id="rId22" Type="http://schemas.openxmlformats.org/officeDocument/2006/relationships/ctrlProp" Target="../ctrlProps/ctrlProp17.xml"/><Relationship Id="rId27" Type="http://schemas.openxmlformats.org/officeDocument/2006/relationships/ctrlProp" Target="../ctrlProps/ctrlProp22.xml"/><Relationship Id="rId30" Type="http://schemas.openxmlformats.org/officeDocument/2006/relationships/ctrlProp" Target="../ctrlProps/ctrlProp25.xml"/><Relationship Id="rId35" Type="http://schemas.openxmlformats.org/officeDocument/2006/relationships/ctrlProp" Target="../ctrlProps/ctrlProp30.xml"/><Relationship Id="rId43" Type="http://schemas.openxmlformats.org/officeDocument/2006/relationships/ctrlProp" Target="../ctrlProps/ctrlProp38.xml"/><Relationship Id="rId48" Type="http://schemas.openxmlformats.org/officeDocument/2006/relationships/ctrlProp" Target="../ctrlProps/ctrlProp43.xml"/><Relationship Id="rId56" Type="http://schemas.openxmlformats.org/officeDocument/2006/relationships/ctrlProp" Target="../ctrlProps/ctrlProp51.xml"/><Relationship Id="rId64" Type="http://schemas.openxmlformats.org/officeDocument/2006/relationships/ctrlProp" Target="../ctrlProps/ctrlProp59.xml"/><Relationship Id="rId69" Type="http://schemas.openxmlformats.org/officeDocument/2006/relationships/ctrlProp" Target="../ctrlProps/ctrlProp64.xml"/><Relationship Id="rId77" Type="http://schemas.openxmlformats.org/officeDocument/2006/relationships/ctrlProp" Target="../ctrlProps/ctrlProp72.xml"/><Relationship Id="rId8" Type="http://schemas.openxmlformats.org/officeDocument/2006/relationships/ctrlProp" Target="../ctrlProps/ctrlProp3.xml"/><Relationship Id="rId51" Type="http://schemas.openxmlformats.org/officeDocument/2006/relationships/ctrlProp" Target="../ctrlProps/ctrlProp46.xml"/><Relationship Id="rId72" Type="http://schemas.openxmlformats.org/officeDocument/2006/relationships/ctrlProp" Target="../ctrlProps/ctrlProp67.xml"/><Relationship Id="rId80" Type="http://schemas.openxmlformats.org/officeDocument/2006/relationships/ctrlProp" Target="../ctrlProps/ctrlProp75.xml"/><Relationship Id="rId85" Type="http://schemas.openxmlformats.org/officeDocument/2006/relationships/ctrlProp" Target="../ctrlProps/ctrlProp80.xml"/><Relationship Id="rId3" Type="http://schemas.openxmlformats.org/officeDocument/2006/relationships/hyperlink" Target="https://gr.4gds.biz/inbox" TargetMode="Externa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5" Type="http://schemas.openxmlformats.org/officeDocument/2006/relationships/ctrlProp" Target="../ctrlProps/ctrlProp20.xml"/><Relationship Id="rId33" Type="http://schemas.openxmlformats.org/officeDocument/2006/relationships/ctrlProp" Target="../ctrlProps/ctrlProp28.xml"/><Relationship Id="rId38" Type="http://schemas.openxmlformats.org/officeDocument/2006/relationships/ctrlProp" Target="../ctrlProps/ctrlProp33.xml"/><Relationship Id="rId46" Type="http://schemas.openxmlformats.org/officeDocument/2006/relationships/ctrlProp" Target="../ctrlProps/ctrlProp41.xml"/><Relationship Id="rId59" Type="http://schemas.openxmlformats.org/officeDocument/2006/relationships/ctrlProp" Target="../ctrlProps/ctrlProp54.xml"/><Relationship Id="rId67" Type="http://schemas.openxmlformats.org/officeDocument/2006/relationships/ctrlProp" Target="../ctrlProps/ctrlProp62.xml"/><Relationship Id="rId20" Type="http://schemas.openxmlformats.org/officeDocument/2006/relationships/ctrlProp" Target="../ctrlProps/ctrlProp15.xml"/><Relationship Id="rId41" Type="http://schemas.openxmlformats.org/officeDocument/2006/relationships/ctrlProp" Target="../ctrlProps/ctrlProp36.xml"/><Relationship Id="rId54" Type="http://schemas.openxmlformats.org/officeDocument/2006/relationships/ctrlProp" Target="../ctrlProps/ctrlProp49.xml"/><Relationship Id="rId62" Type="http://schemas.openxmlformats.org/officeDocument/2006/relationships/ctrlProp" Target="../ctrlProps/ctrlProp57.xml"/><Relationship Id="rId70" Type="http://schemas.openxmlformats.org/officeDocument/2006/relationships/ctrlProp" Target="../ctrlProps/ctrlProp65.xml"/><Relationship Id="rId75" Type="http://schemas.openxmlformats.org/officeDocument/2006/relationships/ctrlProp" Target="../ctrlProps/ctrlProp70.xml"/><Relationship Id="rId83" Type="http://schemas.openxmlformats.org/officeDocument/2006/relationships/ctrlProp" Target="../ctrlProps/ctrlProp78.xml"/><Relationship Id="rId88" Type="http://schemas.openxmlformats.org/officeDocument/2006/relationships/ctrlProp" Target="../ctrlProps/ctrlProp83.xml"/><Relationship Id="rId91" Type="http://schemas.openxmlformats.org/officeDocument/2006/relationships/ctrlProp" Target="../ctrlProps/ctrlProp86.xml"/><Relationship Id="rId1" Type="http://schemas.openxmlformats.org/officeDocument/2006/relationships/hyperlink" Target="https://finsar.xternall.com/ords/f?p=159:LOGIN:11272888320804::YES:::" TargetMode="External"/><Relationship Id="rId6" Type="http://schemas.openxmlformats.org/officeDocument/2006/relationships/ctrlProp" Target="../ctrlProps/ctrlProp1.xml"/><Relationship Id="rId15" Type="http://schemas.openxmlformats.org/officeDocument/2006/relationships/ctrlProp" Target="../ctrlProps/ctrlProp10.xml"/><Relationship Id="rId23" Type="http://schemas.openxmlformats.org/officeDocument/2006/relationships/ctrlProp" Target="../ctrlProps/ctrlProp18.xml"/><Relationship Id="rId28" Type="http://schemas.openxmlformats.org/officeDocument/2006/relationships/ctrlProp" Target="../ctrlProps/ctrlProp23.xml"/><Relationship Id="rId36" Type="http://schemas.openxmlformats.org/officeDocument/2006/relationships/ctrlProp" Target="../ctrlProps/ctrlProp31.xml"/><Relationship Id="rId49" Type="http://schemas.openxmlformats.org/officeDocument/2006/relationships/ctrlProp" Target="../ctrlProps/ctrlProp44.xml"/><Relationship Id="rId57" Type="http://schemas.openxmlformats.org/officeDocument/2006/relationships/ctrlProp" Target="../ctrlProps/ctrlProp52.xml"/><Relationship Id="rId10" Type="http://schemas.openxmlformats.org/officeDocument/2006/relationships/ctrlProp" Target="../ctrlProps/ctrlProp5.xml"/><Relationship Id="rId31" Type="http://schemas.openxmlformats.org/officeDocument/2006/relationships/ctrlProp" Target="../ctrlProps/ctrlProp26.xml"/><Relationship Id="rId44" Type="http://schemas.openxmlformats.org/officeDocument/2006/relationships/ctrlProp" Target="../ctrlProps/ctrlProp39.xml"/><Relationship Id="rId52" Type="http://schemas.openxmlformats.org/officeDocument/2006/relationships/ctrlProp" Target="../ctrlProps/ctrlProp47.xml"/><Relationship Id="rId60" Type="http://schemas.openxmlformats.org/officeDocument/2006/relationships/ctrlProp" Target="../ctrlProps/ctrlProp55.xml"/><Relationship Id="rId65" Type="http://schemas.openxmlformats.org/officeDocument/2006/relationships/ctrlProp" Target="../ctrlProps/ctrlProp60.xml"/><Relationship Id="rId73" Type="http://schemas.openxmlformats.org/officeDocument/2006/relationships/ctrlProp" Target="../ctrlProps/ctrlProp68.xml"/><Relationship Id="rId78" Type="http://schemas.openxmlformats.org/officeDocument/2006/relationships/ctrlProp" Target="../ctrlProps/ctrlProp73.xml"/><Relationship Id="rId81" Type="http://schemas.openxmlformats.org/officeDocument/2006/relationships/ctrlProp" Target="../ctrlProps/ctrlProp76.xml"/><Relationship Id="rId86" Type="http://schemas.openxmlformats.org/officeDocument/2006/relationships/ctrlProp" Target="../ctrlProps/ctrlProp81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39" Type="http://schemas.openxmlformats.org/officeDocument/2006/relationships/ctrlProp" Target="../ctrlProps/ctrlProp34.xml"/><Relationship Id="rId34" Type="http://schemas.openxmlformats.org/officeDocument/2006/relationships/ctrlProp" Target="../ctrlProps/ctrlProp29.xml"/><Relationship Id="rId50" Type="http://schemas.openxmlformats.org/officeDocument/2006/relationships/ctrlProp" Target="../ctrlProps/ctrlProp45.xml"/><Relationship Id="rId55" Type="http://schemas.openxmlformats.org/officeDocument/2006/relationships/ctrlProp" Target="../ctrlProps/ctrlProp50.xml"/><Relationship Id="rId76" Type="http://schemas.openxmlformats.org/officeDocument/2006/relationships/ctrlProp" Target="../ctrlProps/ctrlProp71.xml"/><Relationship Id="rId7" Type="http://schemas.openxmlformats.org/officeDocument/2006/relationships/ctrlProp" Target="../ctrlProps/ctrlProp2.xml"/><Relationship Id="rId71" Type="http://schemas.openxmlformats.org/officeDocument/2006/relationships/ctrlProp" Target="../ctrlProps/ctrlProp66.xml"/><Relationship Id="rId92" Type="http://schemas.openxmlformats.org/officeDocument/2006/relationships/ctrlProp" Target="../ctrlProps/ctrlProp87.xml"/><Relationship Id="rId2" Type="http://schemas.openxmlformats.org/officeDocument/2006/relationships/hyperlink" Target="mailto:juan.sillas@banregio.com" TargetMode="External"/><Relationship Id="rId29" Type="http://schemas.openxmlformats.org/officeDocument/2006/relationships/ctrlProp" Target="../ctrlProps/ctrlProp24.xml"/><Relationship Id="rId24" Type="http://schemas.openxmlformats.org/officeDocument/2006/relationships/ctrlProp" Target="../ctrlProps/ctrlProp19.xml"/><Relationship Id="rId40" Type="http://schemas.openxmlformats.org/officeDocument/2006/relationships/ctrlProp" Target="../ctrlProps/ctrlProp35.xml"/><Relationship Id="rId45" Type="http://schemas.openxmlformats.org/officeDocument/2006/relationships/ctrlProp" Target="../ctrlProps/ctrlProp40.xml"/><Relationship Id="rId66" Type="http://schemas.openxmlformats.org/officeDocument/2006/relationships/ctrlProp" Target="../ctrlProps/ctrlProp61.xml"/><Relationship Id="rId87" Type="http://schemas.openxmlformats.org/officeDocument/2006/relationships/ctrlProp" Target="../ctrlProps/ctrlProp82.xml"/><Relationship Id="rId61" Type="http://schemas.openxmlformats.org/officeDocument/2006/relationships/ctrlProp" Target="../ctrlProps/ctrlProp56.xml"/><Relationship Id="rId82" Type="http://schemas.openxmlformats.org/officeDocument/2006/relationships/ctrlProp" Target="../ctrlProps/ctrlProp77.xml"/><Relationship Id="rId19" Type="http://schemas.openxmlformats.org/officeDocument/2006/relationships/ctrlProp" Target="../ctrlProps/ctrlProp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antonio.alanis@atx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EAAE-7E9A-4FE0-A370-4EB499AB6303}">
  <sheetPr codeName="Hoja4">
    <tabColor rgb="FFFF0066"/>
  </sheetPr>
  <dimension ref="A1:Q26"/>
  <sheetViews>
    <sheetView showGridLines="0" zoomScale="70" zoomScaleNormal="70" workbookViewId="0">
      <pane ySplit="1" topLeftCell="A2" activePane="bottomLeft" state="frozen"/>
      <selection pane="bottomLeft" activeCell="C22" sqref="C22"/>
    </sheetView>
  </sheetViews>
  <sheetFormatPr baseColWidth="10" defaultColWidth="9.109375" defaultRowHeight="14.4" x14ac:dyDescent="0.3"/>
  <cols>
    <col min="1" max="1" width="8.5546875" style="11" customWidth="1"/>
    <col min="2" max="2" width="33.44140625" style="12" customWidth="1"/>
    <col min="3" max="3" width="32.88671875" style="12" customWidth="1"/>
    <col min="4" max="4" width="7.44140625" style="13" customWidth="1"/>
    <col min="5" max="5" width="11.5546875" style="12" bestFit="1" customWidth="1"/>
    <col min="6" max="6" width="8.33203125" style="13" customWidth="1"/>
    <col min="7" max="7" width="15.5546875" style="12" bestFit="1" customWidth="1"/>
    <col min="8" max="8" width="15.5546875" style="12" customWidth="1"/>
    <col min="9" max="9" width="15.5546875" style="12" bestFit="1" customWidth="1"/>
    <col min="10" max="10" width="9.33203125" style="13" customWidth="1"/>
    <col min="11" max="11" width="28.88671875" style="12" bestFit="1" customWidth="1"/>
    <col min="12" max="12" width="13.88671875" style="13" bestFit="1" customWidth="1"/>
    <col min="13" max="13" width="15" style="12" customWidth="1"/>
    <col min="14" max="14" width="76.88671875" style="12" bestFit="1" customWidth="1"/>
    <col min="15" max="15" width="34.44140625" style="12" bestFit="1" customWidth="1"/>
    <col min="16" max="16" width="25.6640625" style="13" bestFit="1" customWidth="1"/>
    <col min="17" max="17" width="26.44140625" style="12" bestFit="1" customWidth="1"/>
    <col min="18" max="16384" width="9.109375" style="12"/>
  </cols>
  <sheetData>
    <row r="1" spans="1:17" s="20" customFormat="1" ht="33.75" customHeight="1" thickBot="1" x14ac:dyDescent="0.35">
      <c r="A1" s="21" t="s">
        <v>4</v>
      </c>
      <c r="B1" s="21" t="s">
        <v>2</v>
      </c>
      <c r="C1" s="21" t="s">
        <v>3</v>
      </c>
      <c r="D1" s="22" t="s">
        <v>0</v>
      </c>
      <c r="E1" s="22" t="s">
        <v>5</v>
      </c>
      <c r="F1" s="22" t="s">
        <v>6</v>
      </c>
      <c r="G1" s="23" t="s">
        <v>9</v>
      </c>
      <c r="H1" s="23" t="s">
        <v>10</v>
      </c>
      <c r="I1" s="21" t="s">
        <v>11</v>
      </c>
      <c r="J1" s="21" t="s">
        <v>12</v>
      </c>
      <c r="K1" s="22" t="s">
        <v>13</v>
      </c>
      <c r="L1" s="22" t="s">
        <v>18</v>
      </c>
      <c r="M1" s="21" t="s">
        <v>16</v>
      </c>
      <c r="N1" s="21" t="s">
        <v>17</v>
      </c>
      <c r="O1" s="22" t="s">
        <v>23</v>
      </c>
      <c r="P1" s="22" t="s">
        <v>24</v>
      </c>
      <c r="Q1" s="22" t="s">
        <v>25</v>
      </c>
    </row>
    <row r="2" spans="1:17" s="4" customFormat="1" x14ac:dyDescent="0.3">
      <c r="A2" s="54">
        <v>8750</v>
      </c>
      <c r="B2" s="4" t="s">
        <v>193</v>
      </c>
      <c r="C2" s="55" t="s">
        <v>193</v>
      </c>
      <c r="D2" s="5" t="s">
        <v>7</v>
      </c>
      <c r="E2" s="27">
        <v>46031</v>
      </c>
      <c r="F2" s="5"/>
      <c r="G2" s="7">
        <v>1345.07</v>
      </c>
      <c r="H2" s="7">
        <v>941.55</v>
      </c>
      <c r="I2" s="7">
        <f t="shared" ref="I2:I3" si="0">G2-H2</f>
        <v>403.52</v>
      </c>
      <c r="J2" s="5" t="s">
        <v>26</v>
      </c>
      <c r="K2" s="4" t="s">
        <v>34</v>
      </c>
      <c r="L2" s="5" t="s">
        <v>20</v>
      </c>
      <c r="M2" s="4" t="s">
        <v>21</v>
      </c>
      <c r="N2" s="4" t="s">
        <v>210</v>
      </c>
      <c r="O2" s="4" t="s">
        <v>195</v>
      </c>
      <c r="P2" s="5">
        <v>8181850237</v>
      </c>
      <c r="Q2" s="10"/>
    </row>
    <row r="3" spans="1:17" s="4" customFormat="1" x14ac:dyDescent="0.3">
      <c r="A3" s="54">
        <v>8735</v>
      </c>
      <c r="B3" s="4" t="s">
        <v>193</v>
      </c>
      <c r="C3" s="55" t="s">
        <v>193</v>
      </c>
      <c r="D3" s="5" t="s">
        <v>7</v>
      </c>
      <c r="E3" s="27">
        <v>46031</v>
      </c>
      <c r="F3" s="5"/>
      <c r="G3" s="7">
        <v>642.29999999999995</v>
      </c>
      <c r="H3" s="7">
        <v>449.95</v>
      </c>
      <c r="I3" s="7">
        <f t="shared" si="0"/>
        <v>192.34999999999997</v>
      </c>
      <c r="J3" s="5" t="s">
        <v>26</v>
      </c>
      <c r="K3" s="4" t="s">
        <v>34</v>
      </c>
      <c r="L3" s="5" t="s">
        <v>20</v>
      </c>
      <c r="M3" s="4" t="s">
        <v>21</v>
      </c>
      <c r="N3" s="4" t="s">
        <v>210</v>
      </c>
      <c r="O3" s="4" t="s">
        <v>195</v>
      </c>
      <c r="P3" s="5">
        <v>8181850237</v>
      </c>
      <c r="Q3" s="10"/>
    </row>
    <row r="4" spans="1:17" s="4" customFormat="1" x14ac:dyDescent="0.3">
      <c r="A4" s="54">
        <v>8725</v>
      </c>
      <c r="B4" s="4" t="s">
        <v>193</v>
      </c>
      <c r="C4" s="55" t="s">
        <v>193</v>
      </c>
      <c r="D4" s="5" t="s">
        <v>7</v>
      </c>
      <c r="E4" s="27">
        <v>42377</v>
      </c>
      <c r="F4" s="5"/>
      <c r="G4" s="7">
        <v>2778.74</v>
      </c>
      <c r="H4" s="7">
        <v>1945.09</v>
      </c>
      <c r="I4" s="7">
        <f t="shared" ref="I4:I8" si="1">G4-H4</f>
        <v>833.64999999999986</v>
      </c>
      <c r="J4" s="5" t="s">
        <v>26</v>
      </c>
      <c r="K4" s="4" t="s">
        <v>34</v>
      </c>
      <c r="L4" s="5" t="s">
        <v>20</v>
      </c>
      <c r="M4" s="4" t="s">
        <v>21</v>
      </c>
      <c r="N4" s="4" t="s">
        <v>210</v>
      </c>
      <c r="O4" s="4" t="s">
        <v>195</v>
      </c>
      <c r="P4" s="5">
        <v>8181850237</v>
      </c>
      <c r="Q4" s="10"/>
    </row>
    <row r="5" spans="1:17" s="4" customFormat="1" ht="14.25" customHeight="1" x14ac:dyDescent="0.3">
      <c r="A5" s="52">
        <v>8852</v>
      </c>
      <c r="B5" s="4" t="s">
        <v>207</v>
      </c>
      <c r="C5" s="55" t="s">
        <v>208</v>
      </c>
      <c r="D5" s="5" t="s">
        <v>7</v>
      </c>
      <c r="E5" s="27" t="s">
        <v>209</v>
      </c>
      <c r="F5" s="5"/>
      <c r="G5" s="7">
        <v>315.8</v>
      </c>
      <c r="H5" s="7">
        <v>221.06</v>
      </c>
      <c r="I5" s="19">
        <f t="shared" si="1"/>
        <v>94.740000000000009</v>
      </c>
      <c r="J5" s="17" t="s">
        <v>26</v>
      </c>
      <c r="K5" s="4" t="s">
        <v>98</v>
      </c>
      <c r="L5" s="5" t="s">
        <v>20</v>
      </c>
      <c r="M5" s="4" t="s">
        <v>21</v>
      </c>
      <c r="N5" s="4" t="s">
        <v>199</v>
      </c>
      <c r="O5" s="4" t="s">
        <v>211</v>
      </c>
      <c r="P5" s="5">
        <v>5667612897</v>
      </c>
    </row>
    <row r="6" spans="1:17" s="4" customFormat="1" x14ac:dyDescent="0.3">
      <c r="A6" s="54">
        <v>8854</v>
      </c>
      <c r="B6" s="4" t="s">
        <v>207</v>
      </c>
      <c r="C6" s="55" t="s">
        <v>208</v>
      </c>
      <c r="D6" s="5" t="s">
        <v>7</v>
      </c>
      <c r="E6" s="27" t="s">
        <v>209</v>
      </c>
      <c r="F6" s="5"/>
      <c r="G6" s="7">
        <v>2522.36</v>
      </c>
      <c r="H6" s="7">
        <v>1765.65</v>
      </c>
      <c r="I6" s="7">
        <f t="shared" si="1"/>
        <v>756.71</v>
      </c>
      <c r="J6" s="5" t="s">
        <v>26</v>
      </c>
      <c r="K6" s="4" t="s">
        <v>34</v>
      </c>
      <c r="L6" s="5" t="s">
        <v>20</v>
      </c>
      <c r="M6" s="4" t="s">
        <v>21</v>
      </c>
      <c r="N6" s="4" t="s">
        <v>199</v>
      </c>
      <c r="O6" s="4" t="s">
        <v>211</v>
      </c>
      <c r="P6" s="5">
        <v>5667612897</v>
      </c>
      <c r="Q6" s="10"/>
    </row>
    <row r="7" spans="1:17" s="4" customFormat="1" x14ac:dyDescent="0.3">
      <c r="A7" s="54">
        <v>8787</v>
      </c>
      <c r="B7" s="4" t="s">
        <v>200</v>
      </c>
      <c r="C7" s="55" t="s">
        <v>200</v>
      </c>
      <c r="D7" s="5" t="s">
        <v>7</v>
      </c>
      <c r="E7" s="27">
        <v>46038</v>
      </c>
      <c r="F7" s="5"/>
      <c r="G7" s="7">
        <v>5694.23</v>
      </c>
      <c r="H7" s="7">
        <v>3985.96</v>
      </c>
      <c r="I7" s="7">
        <f t="shared" si="1"/>
        <v>1708.2699999999995</v>
      </c>
      <c r="J7" s="5" t="s">
        <v>26</v>
      </c>
      <c r="K7" s="4" t="s">
        <v>14</v>
      </c>
      <c r="L7" s="5" t="s">
        <v>20</v>
      </c>
      <c r="M7" s="4" t="s">
        <v>21</v>
      </c>
      <c r="N7" s="4" t="s">
        <v>221</v>
      </c>
      <c r="O7" s="4" t="s">
        <v>202</v>
      </c>
      <c r="P7" s="5">
        <v>8183091200</v>
      </c>
      <c r="Q7" s="10"/>
    </row>
    <row r="8" spans="1:17" s="4" customFormat="1" x14ac:dyDescent="0.3">
      <c r="A8" s="52">
        <v>8724</v>
      </c>
      <c r="B8" s="4" t="s">
        <v>193</v>
      </c>
      <c r="C8" s="55" t="s">
        <v>193</v>
      </c>
      <c r="D8" s="5" t="s">
        <v>7</v>
      </c>
      <c r="E8" s="27">
        <v>46030</v>
      </c>
      <c r="F8" s="5"/>
      <c r="G8" s="7">
        <v>14582.81</v>
      </c>
      <c r="H8" s="7">
        <v>10207.85</v>
      </c>
      <c r="I8" s="7">
        <f t="shared" si="1"/>
        <v>4374.9599999999991</v>
      </c>
      <c r="J8" s="5" t="s">
        <v>8</v>
      </c>
      <c r="K8" s="4" t="s">
        <v>194</v>
      </c>
      <c r="L8" s="5" t="s">
        <v>20</v>
      </c>
      <c r="M8" s="4" t="s">
        <v>35</v>
      </c>
      <c r="N8" s="4" t="s">
        <v>210</v>
      </c>
      <c r="O8" s="4" t="s">
        <v>195</v>
      </c>
      <c r="P8" s="5">
        <v>8181850237</v>
      </c>
      <c r="Q8" s="10"/>
    </row>
    <row r="9" spans="1:17" s="4" customFormat="1" x14ac:dyDescent="0.3">
      <c r="A9" s="52">
        <v>8734</v>
      </c>
      <c r="B9" s="4" t="s">
        <v>193</v>
      </c>
      <c r="C9" s="55" t="s">
        <v>193</v>
      </c>
      <c r="D9" s="5" t="s">
        <v>7</v>
      </c>
      <c r="E9" s="27">
        <v>46031</v>
      </c>
      <c r="F9" s="5"/>
      <c r="G9" s="7">
        <v>6371.11</v>
      </c>
      <c r="H9" s="7">
        <v>4463.24</v>
      </c>
      <c r="I9" s="7">
        <f t="shared" ref="I9:I10" si="2">G9-H9</f>
        <v>1907.87</v>
      </c>
      <c r="J9" s="5" t="s">
        <v>8</v>
      </c>
      <c r="K9" s="4" t="s">
        <v>194</v>
      </c>
      <c r="L9" s="5" t="s">
        <v>20</v>
      </c>
      <c r="M9" s="4" t="s">
        <v>35</v>
      </c>
      <c r="N9" s="4" t="s">
        <v>210</v>
      </c>
      <c r="O9" s="4" t="s">
        <v>195</v>
      </c>
      <c r="P9" s="5">
        <v>8181850237</v>
      </c>
      <c r="Q9" s="9"/>
    </row>
    <row r="10" spans="1:17" s="4" customFormat="1" x14ac:dyDescent="0.3">
      <c r="A10" s="52">
        <v>8749</v>
      </c>
      <c r="B10" s="4" t="s">
        <v>193</v>
      </c>
      <c r="C10" s="55" t="s">
        <v>193</v>
      </c>
      <c r="D10" s="5" t="s">
        <v>7</v>
      </c>
      <c r="E10" s="27">
        <v>46034</v>
      </c>
      <c r="F10" s="5"/>
      <c r="G10" s="7">
        <v>9440.4699999999993</v>
      </c>
      <c r="H10" s="7">
        <v>6608.33</v>
      </c>
      <c r="I10" s="7">
        <f t="shared" si="2"/>
        <v>2832.1399999999994</v>
      </c>
      <c r="J10" s="5" t="s">
        <v>8</v>
      </c>
      <c r="K10" s="4" t="s">
        <v>194</v>
      </c>
      <c r="L10" s="5" t="s">
        <v>20</v>
      </c>
      <c r="M10" s="4" t="s">
        <v>35</v>
      </c>
      <c r="N10" s="4" t="s">
        <v>210</v>
      </c>
      <c r="O10" s="4" t="s">
        <v>195</v>
      </c>
      <c r="P10" s="5">
        <v>8181850237</v>
      </c>
      <c r="Q10" s="10"/>
    </row>
    <row r="11" spans="1:17" s="4" customFormat="1" ht="14.25" customHeight="1" x14ac:dyDescent="0.3">
      <c r="A11" s="52">
        <v>8413</v>
      </c>
      <c r="B11" s="4" t="s">
        <v>205</v>
      </c>
      <c r="C11" s="55" t="s">
        <v>214</v>
      </c>
      <c r="D11" s="5" t="s">
        <v>28</v>
      </c>
      <c r="E11" s="27">
        <v>45971</v>
      </c>
      <c r="F11" s="5"/>
      <c r="G11" s="7">
        <v>15481.42</v>
      </c>
      <c r="H11" s="7">
        <v>10836.99</v>
      </c>
      <c r="I11" s="19">
        <f t="shared" ref="I11:I14" si="3">G11-H11</f>
        <v>4644.43</v>
      </c>
      <c r="J11" s="17" t="s">
        <v>8</v>
      </c>
      <c r="K11" s="4" t="s">
        <v>51</v>
      </c>
      <c r="L11" s="5" t="s">
        <v>20</v>
      </c>
      <c r="M11" s="4" t="s">
        <v>38</v>
      </c>
      <c r="N11" s="4" t="s">
        <v>144</v>
      </c>
      <c r="O11" s="4" t="s">
        <v>50</v>
      </c>
      <c r="P11" s="5">
        <v>8182547308</v>
      </c>
    </row>
    <row r="12" spans="1:17" s="4" customFormat="1" x14ac:dyDescent="0.3">
      <c r="A12" s="52">
        <v>8851</v>
      </c>
      <c r="B12" s="4" t="s">
        <v>207</v>
      </c>
      <c r="C12" s="55" t="s">
        <v>208</v>
      </c>
      <c r="D12" s="5" t="s">
        <v>7</v>
      </c>
      <c r="E12" s="27" t="s">
        <v>209</v>
      </c>
      <c r="F12" s="5"/>
      <c r="G12" s="7">
        <v>2175</v>
      </c>
      <c r="H12" s="7">
        <v>1522.5</v>
      </c>
      <c r="I12" s="7">
        <f t="shared" ref="I12" si="4">G12-H12</f>
        <v>652.5</v>
      </c>
      <c r="J12" s="5" t="s">
        <v>8</v>
      </c>
      <c r="K12" s="4" t="s">
        <v>191</v>
      </c>
      <c r="L12" s="5" t="s">
        <v>20</v>
      </c>
      <c r="M12" s="4" t="s">
        <v>35</v>
      </c>
      <c r="N12" s="4" t="s">
        <v>222</v>
      </c>
      <c r="O12" s="4" t="s">
        <v>211</v>
      </c>
      <c r="P12" s="5">
        <v>5667612897</v>
      </c>
      <c r="Q12" s="10"/>
    </row>
    <row r="13" spans="1:17" s="4" customFormat="1" x14ac:dyDescent="0.3">
      <c r="A13" s="54">
        <v>8786</v>
      </c>
      <c r="B13" s="4" t="s">
        <v>200</v>
      </c>
      <c r="C13" s="55" t="s">
        <v>200</v>
      </c>
      <c r="D13" s="5" t="s">
        <v>7</v>
      </c>
      <c r="E13" s="27" t="s">
        <v>201</v>
      </c>
      <c r="F13" s="5"/>
      <c r="G13" s="7">
        <v>14218.4</v>
      </c>
      <c r="H13" s="7">
        <v>9952.8799999999992</v>
      </c>
      <c r="I13" s="7">
        <f t="shared" ref="I13" si="5">G13-H13</f>
        <v>4265.5200000000004</v>
      </c>
      <c r="J13" s="5" t="s">
        <v>8</v>
      </c>
      <c r="K13" s="4" t="s">
        <v>206</v>
      </c>
      <c r="L13" s="5" t="s">
        <v>20</v>
      </c>
      <c r="M13" s="4" t="s">
        <v>35</v>
      </c>
      <c r="N13" s="4" t="s">
        <v>221</v>
      </c>
      <c r="O13" s="4" t="s">
        <v>202</v>
      </c>
      <c r="P13" s="5">
        <v>8183091200</v>
      </c>
      <c r="Q13" s="10"/>
    </row>
    <row r="14" spans="1:17" s="4" customFormat="1" x14ac:dyDescent="0.3">
      <c r="A14" s="57">
        <v>8626</v>
      </c>
      <c r="B14" s="55" t="s">
        <v>213</v>
      </c>
      <c r="C14" s="55" t="s">
        <v>213</v>
      </c>
      <c r="D14" s="5" t="s">
        <v>7</v>
      </c>
      <c r="E14" s="27">
        <v>46001</v>
      </c>
      <c r="F14" s="5"/>
      <c r="G14" s="7">
        <v>675.46</v>
      </c>
      <c r="H14" s="7">
        <v>0</v>
      </c>
      <c r="I14" s="7">
        <f t="shared" si="3"/>
        <v>675.46</v>
      </c>
      <c r="J14" s="5" t="s">
        <v>26</v>
      </c>
      <c r="K14" s="4" t="s">
        <v>48</v>
      </c>
      <c r="L14" s="5" t="s">
        <v>20</v>
      </c>
      <c r="M14" s="4" t="s">
        <v>38</v>
      </c>
      <c r="N14" s="16" t="s">
        <v>189</v>
      </c>
      <c r="P14" s="5"/>
      <c r="Q14" s="9"/>
    </row>
    <row r="15" spans="1:17" s="4" customFormat="1" ht="14.25" customHeight="1" x14ac:dyDescent="0.3">
      <c r="A15" s="52"/>
      <c r="C15" s="55"/>
      <c r="D15" s="5"/>
      <c r="E15" s="27"/>
      <c r="F15" s="5"/>
      <c r="G15" s="7"/>
      <c r="H15" s="7"/>
      <c r="I15" s="19"/>
      <c r="J15" s="17"/>
      <c r="L15" s="5"/>
      <c r="P15" s="5"/>
    </row>
    <row r="16" spans="1:17" s="4" customFormat="1" x14ac:dyDescent="0.3">
      <c r="A16" s="54"/>
      <c r="C16" s="55"/>
      <c r="D16" s="5"/>
      <c r="E16" s="27"/>
      <c r="F16" s="5"/>
      <c r="G16" s="7"/>
      <c r="H16" s="7"/>
      <c r="I16" s="7"/>
      <c r="J16" s="5"/>
      <c r="L16" s="5"/>
      <c r="P16" s="5"/>
      <c r="Q16" s="10"/>
    </row>
    <row r="17" spans="1:17" s="4" customFormat="1" x14ac:dyDescent="0.3">
      <c r="A17" s="54"/>
      <c r="C17" s="55"/>
      <c r="D17" s="5"/>
      <c r="E17" s="27"/>
      <c r="F17" s="5"/>
      <c r="G17" s="7"/>
      <c r="H17" s="7"/>
      <c r="I17" s="7"/>
      <c r="J17" s="5"/>
      <c r="L17" s="5"/>
      <c r="P17" s="5"/>
      <c r="Q17" s="10"/>
    </row>
    <row r="18" spans="1:17" x14ac:dyDescent="0.3">
      <c r="I18" s="7"/>
    </row>
    <row r="19" spans="1:17" x14ac:dyDescent="0.3">
      <c r="I19" s="7"/>
    </row>
    <row r="25" spans="1:17" x14ac:dyDescent="0.3">
      <c r="H25" s="19"/>
    </row>
    <row r="26" spans="1:17" x14ac:dyDescent="0.3">
      <c r="H26" s="19"/>
    </row>
  </sheetData>
  <conditionalFormatting sqref="A1:A1048576">
    <cfRule type="duplicateValues" dxfId="107" priority="1"/>
  </conditionalFormatting>
  <conditionalFormatting sqref="F2:F1048576">
    <cfRule type="cellIs" dxfId="106" priority="2" operator="between">
      <formula>15</formula>
      <formula>2000</formula>
    </cfRule>
    <cfRule type="cellIs" dxfId="105" priority="3" operator="between">
      <formula>6</formula>
      <formula>15</formula>
    </cfRule>
    <cfRule type="cellIs" dxfId="104" priority="4" operator="between">
      <formula>0</formula>
      <formula>5</formula>
    </cfRule>
  </conditionalFormatting>
  <conditionalFormatting sqref="L2:L1048576">
    <cfRule type="containsText" dxfId="103" priority="10" operator="containsText" text="PENDIENTE">
      <formula>NOT(ISERROR(SEARCH("PENDIENTE",L2)))</formula>
    </cfRule>
    <cfRule type="containsText" dxfId="102" priority="11" operator="containsText" text="ENTREGADO">
      <formula>NOT(ISERROR(SEARCH("ENTREGADO",L2)))</formula>
    </cfRule>
  </conditionalFormatting>
  <conditionalFormatting sqref="M2:M1048576">
    <cfRule type="containsText" dxfId="101" priority="5" operator="containsText" text="AJUSTE">
      <formula>NOT(ISERROR(SEARCH("AJUSTE",M2)))</formula>
    </cfRule>
    <cfRule type="containsText" dxfId="100" priority="6" operator="containsText" text="TEMA CLIENTE">
      <formula>NOT(ISERROR(SEARCH("TEMA CLIENTE",M2)))</formula>
    </cfRule>
    <cfRule type="containsText" dxfId="99" priority="7" operator="containsText" text="TRÁNSITO">
      <formula>NOT(ISERROR(SEARCH("TRÁNSITO",M2)))</formula>
    </cfRule>
    <cfRule type="containsText" dxfId="98" priority="8" operator="containsText" text="POR COBRAR">
      <formula>NOT(ISERROR(SEARCH("POR COBRAR",M2)))</formula>
    </cfRule>
    <cfRule type="containsText" dxfId="97" priority="9" operator="containsText" text="COBRABLE">
      <formula>NOT(ISERROR(SEARCH("COBRABLE",M2)))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74B5-A20C-4EC3-BB11-24EC2F6AFB60}">
  <sheetPr codeName="Hoja9">
    <tabColor rgb="FFC00000"/>
  </sheetPr>
  <dimension ref="A1:R54"/>
  <sheetViews>
    <sheetView showGridLines="0" workbookViewId="0">
      <pane ySplit="1" topLeftCell="A2" activePane="bottomLeft" state="frozen"/>
      <selection activeCell="F11" sqref="F11"/>
      <selection pane="bottomLeft" activeCell="F11" sqref="F11"/>
    </sheetView>
  </sheetViews>
  <sheetFormatPr baseColWidth="10" defaultColWidth="9.109375" defaultRowHeight="14.4" x14ac:dyDescent="0.3"/>
  <cols>
    <col min="1" max="1" width="17.6640625" style="12" bestFit="1" customWidth="1"/>
    <col min="2" max="2" width="8.5546875" style="11" customWidth="1"/>
    <col min="3" max="3" width="19.44140625" style="12" customWidth="1"/>
    <col min="4" max="4" width="15.109375" style="12" customWidth="1"/>
    <col min="5" max="5" width="9.109375" style="13"/>
    <col min="6" max="6" width="11.5546875" style="12" bestFit="1" customWidth="1"/>
    <col min="7" max="7" width="11.109375" style="13" customWidth="1"/>
    <col min="8" max="10" width="15.5546875" style="12" bestFit="1" customWidth="1"/>
    <col min="11" max="11" width="10.6640625" style="13" customWidth="1"/>
    <col min="12" max="12" width="23.33203125" style="12" customWidth="1"/>
    <col min="13" max="13" width="13.88671875" style="13" bestFit="1" customWidth="1"/>
    <col min="14" max="14" width="15" style="12" customWidth="1"/>
    <col min="15" max="15" width="76.88671875" style="12" bestFit="1" customWidth="1"/>
    <col min="16" max="16" width="34.44140625" style="12" bestFit="1" customWidth="1"/>
    <col min="17" max="17" width="25.6640625" style="13" bestFit="1" customWidth="1"/>
    <col min="18" max="18" width="26.44140625" style="12" bestFit="1" customWidth="1"/>
    <col min="19" max="16384" width="9.109375" style="12"/>
  </cols>
  <sheetData>
    <row r="1" spans="1:18" s="20" customFormat="1" ht="33.75" customHeight="1" thickBot="1" x14ac:dyDescent="0.35">
      <c r="A1" s="24" t="s">
        <v>1</v>
      </c>
      <c r="B1" s="21" t="s">
        <v>4</v>
      </c>
      <c r="C1" s="21" t="s">
        <v>2</v>
      </c>
      <c r="D1" s="21" t="s">
        <v>3</v>
      </c>
      <c r="E1" s="22" t="s">
        <v>0</v>
      </c>
      <c r="F1" s="22" t="s">
        <v>5</v>
      </c>
      <c r="G1" s="22" t="s">
        <v>6</v>
      </c>
      <c r="H1" s="23" t="s">
        <v>9</v>
      </c>
      <c r="I1" s="23" t="s">
        <v>10</v>
      </c>
      <c r="J1" s="21" t="s">
        <v>11</v>
      </c>
      <c r="K1" s="21" t="s">
        <v>12</v>
      </c>
      <c r="L1" s="22" t="s">
        <v>13</v>
      </c>
      <c r="M1" s="22" t="s">
        <v>18</v>
      </c>
      <c r="N1" s="21" t="s">
        <v>16</v>
      </c>
      <c r="O1" s="21" t="s">
        <v>17</v>
      </c>
      <c r="P1" s="22" t="s">
        <v>23</v>
      </c>
      <c r="Q1" s="22" t="s">
        <v>24</v>
      </c>
      <c r="R1" s="22" t="s">
        <v>25</v>
      </c>
    </row>
    <row r="2" spans="1:18" s="4" customFormat="1" x14ac:dyDescent="0.3">
      <c r="A2" s="25" t="s">
        <v>39</v>
      </c>
      <c r="B2" s="3">
        <v>3425</v>
      </c>
      <c r="C2" s="53" t="s">
        <v>40</v>
      </c>
      <c r="D2" s="4" t="s">
        <v>41</v>
      </c>
      <c r="E2" s="5" t="s">
        <v>28</v>
      </c>
      <c r="F2" s="6">
        <v>45296</v>
      </c>
      <c r="G2" s="5">
        <v>0</v>
      </c>
      <c r="H2" s="7">
        <v>329588.03999999998</v>
      </c>
      <c r="I2" s="7">
        <v>231097.95</v>
      </c>
      <c r="J2" s="7">
        <f t="shared" ref="J2:J3" si="0">H2-I2</f>
        <v>98490.089999999967</v>
      </c>
      <c r="K2" s="5" t="s">
        <v>8</v>
      </c>
      <c r="L2" s="4" t="s">
        <v>43</v>
      </c>
      <c r="M2" s="5" t="s">
        <v>19</v>
      </c>
      <c r="N2" s="4" t="s">
        <v>21</v>
      </c>
      <c r="O2" s="4" t="s">
        <v>190</v>
      </c>
      <c r="Q2" s="5"/>
    </row>
    <row r="3" spans="1:18" s="4" customFormat="1" x14ac:dyDescent="0.3">
      <c r="A3" s="25" t="s">
        <v>39</v>
      </c>
      <c r="B3" s="3">
        <v>5085</v>
      </c>
      <c r="C3" s="53" t="s">
        <v>40</v>
      </c>
      <c r="D3" s="4" t="s">
        <v>41</v>
      </c>
      <c r="E3" s="5" t="s">
        <v>28</v>
      </c>
      <c r="F3" s="6">
        <v>45496</v>
      </c>
      <c r="G3" s="5">
        <v>0</v>
      </c>
      <c r="H3" s="7">
        <v>16010</v>
      </c>
      <c r="I3" s="7">
        <v>12466.36</v>
      </c>
      <c r="J3" s="7">
        <f t="shared" si="0"/>
        <v>3543.6399999999994</v>
      </c>
      <c r="K3" s="5" t="s">
        <v>8</v>
      </c>
      <c r="L3" s="4" t="s">
        <v>29</v>
      </c>
      <c r="M3" s="5" t="s">
        <v>19</v>
      </c>
      <c r="N3" s="4" t="s">
        <v>21</v>
      </c>
      <c r="O3" s="4" t="s">
        <v>42</v>
      </c>
      <c r="Q3" s="5"/>
    </row>
    <row r="4" spans="1:18" s="5" customFormat="1" x14ac:dyDescent="0.3">
      <c r="B4" s="3"/>
      <c r="C4" s="4"/>
      <c r="D4" s="4"/>
      <c r="F4" s="4"/>
      <c r="H4" s="7"/>
      <c r="I4" s="7"/>
      <c r="J4" s="7"/>
      <c r="L4" s="4"/>
      <c r="N4" s="4"/>
      <c r="O4" s="4"/>
      <c r="P4" s="4"/>
      <c r="R4" s="4"/>
    </row>
    <row r="5" spans="1:18" s="5" customFormat="1" x14ac:dyDescent="0.3">
      <c r="B5" s="3"/>
      <c r="C5" s="4"/>
      <c r="D5" s="4"/>
      <c r="F5" s="4"/>
      <c r="H5" s="7"/>
      <c r="I5" s="7"/>
      <c r="J5" s="7"/>
      <c r="L5" s="4"/>
      <c r="N5" s="4"/>
      <c r="O5" s="4"/>
      <c r="P5" s="4"/>
      <c r="R5" s="4"/>
    </row>
    <row r="6" spans="1:18" s="5" customFormat="1" x14ac:dyDescent="0.3">
      <c r="B6" s="3"/>
      <c r="C6" s="4"/>
      <c r="D6" s="4"/>
      <c r="F6" s="4"/>
      <c r="H6" s="7"/>
      <c r="I6" s="7"/>
      <c r="J6" s="7"/>
      <c r="L6" s="4"/>
      <c r="N6" s="4"/>
      <c r="O6" s="4"/>
      <c r="P6" s="4"/>
      <c r="R6" s="4"/>
    </row>
    <row r="7" spans="1:18" s="5" customFormat="1" x14ac:dyDescent="0.3">
      <c r="B7" s="3"/>
      <c r="C7" s="4"/>
      <c r="D7" s="4"/>
      <c r="F7" s="4"/>
      <c r="H7" s="7"/>
      <c r="I7" s="7"/>
      <c r="J7" s="7"/>
      <c r="L7" s="4"/>
      <c r="N7" s="4"/>
      <c r="O7" s="4"/>
      <c r="P7" s="4"/>
      <c r="R7" s="4"/>
    </row>
    <row r="8" spans="1:18" s="5" customFormat="1" x14ac:dyDescent="0.3">
      <c r="B8" s="3"/>
      <c r="C8" s="4"/>
      <c r="D8" s="4"/>
      <c r="F8" s="4"/>
      <c r="H8" s="7"/>
      <c r="I8" s="7"/>
      <c r="J8" s="7"/>
      <c r="L8" s="4"/>
      <c r="N8" s="4"/>
      <c r="O8" s="4"/>
      <c r="P8" s="4"/>
      <c r="R8" s="4"/>
    </row>
    <row r="9" spans="1:18" s="5" customFormat="1" x14ac:dyDescent="0.3">
      <c r="B9" s="3"/>
      <c r="C9" s="4"/>
      <c r="D9" s="4"/>
      <c r="F9" s="4"/>
      <c r="H9" s="7"/>
      <c r="I9" s="7"/>
      <c r="J9" s="7"/>
      <c r="L9" s="4"/>
      <c r="N9" s="4"/>
      <c r="O9" s="4"/>
      <c r="P9" s="4"/>
      <c r="R9" s="4"/>
    </row>
    <row r="10" spans="1:18" s="13" customFormat="1" x14ac:dyDescent="0.3">
      <c r="B10" s="11"/>
      <c r="C10" s="12"/>
      <c r="D10" s="12"/>
      <c r="F10" s="12"/>
      <c r="H10" s="14"/>
      <c r="I10" s="14"/>
      <c r="J10" s="14"/>
      <c r="L10" s="12"/>
      <c r="N10" s="12"/>
      <c r="O10" s="12"/>
      <c r="P10" s="12"/>
      <c r="R10" s="12"/>
    </row>
    <row r="11" spans="1:18" s="13" customFormat="1" x14ac:dyDescent="0.3">
      <c r="B11" s="11"/>
      <c r="C11" s="12"/>
      <c r="D11" s="12"/>
      <c r="F11" s="12"/>
      <c r="H11" s="14"/>
      <c r="I11" s="14"/>
      <c r="J11" s="14"/>
      <c r="L11" s="12"/>
      <c r="N11" s="12"/>
      <c r="O11" s="12"/>
      <c r="P11" s="12"/>
      <c r="R11" s="12"/>
    </row>
    <row r="12" spans="1:18" s="13" customFormat="1" x14ac:dyDescent="0.3">
      <c r="B12" s="11"/>
      <c r="C12" s="12"/>
      <c r="D12" s="12"/>
      <c r="F12" s="12"/>
      <c r="H12" s="14"/>
      <c r="I12" s="14"/>
      <c r="J12" s="14"/>
      <c r="L12" s="12"/>
      <c r="N12" s="12"/>
      <c r="O12" s="12"/>
      <c r="P12" s="12"/>
      <c r="R12" s="12"/>
    </row>
    <row r="13" spans="1:18" s="13" customFormat="1" x14ac:dyDescent="0.3">
      <c r="B13" s="11"/>
      <c r="C13" s="12"/>
      <c r="D13" s="12"/>
      <c r="F13" s="12"/>
      <c r="H13" s="14"/>
      <c r="I13" s="14"/>
      <c r="J13" s="14"/>
      <c r="L13" s="12"/>
      <c r="N13" s="12"/>
      <c r="O13" s="12"/>
      <c r="P13" s="12"/>
      <c r="R13" s="12"/>
    </row>
    <row r="14" spans="1:18" s="13" customFormat="1" x14ac:dyDescent="0.3">
      <c r="B14" s="11"/>
      <c r="C14" s="12"/>
      <c r="D14" s="12"/>
      <c r="F14" s="12"/>
      <c r="H14" s="14"/>
      <c r="I14" s="14"/>
      <c r="J14" s="14"/>
      <c r="L14" s="12"/>
      <c r="N14" s="12"/>
      <c r="O14" s="12"/>
      <c r="P14" s="12"/>
      <c r="R14" s="12"/>
    </row>
    <row r="15" spans="1:18" s="13" customFormat="1" x14ac:dyDescent="0.3">
      <c r="B15" s="11"/>
      <c r="C15" s="12"/>
      <c r="D15" s="12"/>
      <c r="F15" s="12"/>
      <c r="H15" s="14"/>
      <c r="I15" s="14"/>
      <c r="J15" s="14"/>
      <c r="L15" s="12"/>
      <c r="N15" s="12"/>
      <c r="O15" s="12"/>
      <c r="P15" s="12"/>
      <c r="R15" s="12"/>
    </row>
    <row r="16" spans="1:18" s="13" customFormat="1" x14ac:dyDescent="0.3">
      <c r="B16" s="11"/>
      <c r="C16" s="12"/>
      <c r="D16" s="12"/>
      <c r="F16" s="12"/>
      <c r="H16" s="14"/>
      <c r="I16" s="14"/>
      <c r="J16" s="14"/>
      <c r="L16" s="12"/>
      <c r="N16" s="12"/>
      <c r="O16" s="12"/>
      <c r="P16" s="12"/>
      <c r="R16" s="12"/>
    </row>
    <row r="17" spans="2:18" s="13" customFormat="1" x14ac:dyDescent="0.3">
      <c r="B17" s="11"/>
      <c r="C17" s="12"/>
      <c r="D17" s="12"/>
      <c r="F17" s="12"/>
      <c r="H17" s="14"/>
      <c r="I17" s="14"/>
      <c r="J17" s="14"/>
      <c r="L17" s="12"/>
      <c r="N17" s="12"/>
      <c r="O17" s="12"/>
      <c r="P17" s="12"/>
      <c r="R17" s="12"/>
    </row>
    <row r="18" spans="2:18" s="13" customFormat="1" x14ac:dyDescent="0.3">
      <c r="B18" s="11"/>
      <c r="C18" s="12"/>
      <c r="D18" s="12"/>
      <c r="F18" s="12"/>
      <c r="H18" s="14"/>
      <c r="I18" s="14"/>
      <c r="J18" s="14"/>
      <c r="L18" s="12"/>
      <c r="N18" s="12"/>
      <c r="O18" s="12"/>
      <c r="P18" s="12"/>
      <c r="R18" s="12"/>
    </row>
    <row r="19" spans="2:18" s="13" customFormat="1" x14ac:dyDescent="0.3">
      <c r="B19" s="11"/>
      <c r="C19" s="12"/>
      <c r="D19" s="12"/>
      <c r="F19" s="12"/>
      <c r="H19" s="14"/>
      <c r="I19" s="14"/>
      <c r="J19" s="14"/>
      <c r="L19" s="12"/>
      <c r="N19" s="12"/>
      <c r="O19" s="12"/>
      <c r="P19" s="12"/>
      <c r="R19" s="12"/>
    </row>
    <row r="20" spans="2:18" s="13" customFormat="1" x14ac:dyDescent="0.3">
      <c r="B20" s="11"/>
      <c r="C20" s="12"/>
      <c r="D20" s="12"/>
      <c r="F20" s="12"/>
      <c r="H20" s="14"/>
      <c r="I20" s="14"/>
      <c r="J20" s="14"/>
      <c r="L20" s="12"/>
      <c r="N20" s="12"/>
      <c r="O20" s="12"/>
      <c r="P20" s="12"/>
      <c r="R20" s="12"/>
    </row>
    <row r="21" spans="2:18" s="13" customFormat="1" x14ac:dyDescent="0.3">
      <c r="B21" s="11"/>
      <c r="C21" s="12"/>
      <c r="D21" s="12"/>
      <c r="F21" s="12"/>
      <c r="H21" s="14"/>
      <c r="I21" s="14"/>
      <c r="J21" s="14"/>
      <c r="L21" s="12"/>
      <c r="N21" s="12"/>
      <c r="O21" s="12"/>
      <c r="P21" s="12"/>
      <c r="R21" s="12"/>
    </row>
    <row r="22" spans="2:18" s="13" customFormat="1" x14ac:dyDescent="0.3">
      <c r="B22" s="11"/>
      <c r="C22" s="12"/>
      <c r="D22" s="12"/>
      <c r="F22" s="12"/>
      <c r="H22" s="14"/>
      <c r="I22" s="14"/>
      <c r="J22" s="14"/>
      <c r="L22" s="12"/>
      <c r="N22" s="12"/>
      <c r="O22" s="12"/>
      <c r="P22" s="12"/>
      <c r="R22" s="12"/>
    </row>
    <row r="23" spans="2:18" s="13" customFormat="1" x14ac:dyDescent="0.3">
      <c r="B23" s="11"/>
      <c r="C23" s="12"/>
      <c r="D23" s="12"/>
      <c r="F23" s="12"/>
      <c r="H23" s="14"/>
      <c r="I23" s="14"/>
      <c r="J23" s="14"/>
      <c r="L23" s="12"/>
      <c r="N23" s="12"/>
      <c r="O23" s="12"/>
      <c r="P23" s="12"/>
      <c r="R23" s="12"/>
    </row>
    <row r="24" spans="2:18" s="13" customFormat="1" x14ac:dyDescent="0.3">
      <c r="B24" s="11"/>
      <c r="C24" s="12"/>
      <c r="D24" s="12"/>
      <c r="F24" s="12"/>
      <c r="H24" s="14"/>
      <c r="I24" s="14"/>
      <c r="J24" s="14"/>
      <c r="L24" s="12"/>
      <c r="N24" s="12"/>
      <c r="O24" s="12"/>
      <c r="P24" s="12"/>
      <c r="R24" s="12"/>
    </row>
    <row r="25" spans="2:18" s="13" customFormat="1" x14ac:dyDescent="0.3">
      <c r="B25" s="11"/>
      <c r="C25" s="12"/>
      <c r="D25" s="12"/>
      <c r="F25" s="12"/>
      <c r="H25" s="14"/>
      <c r="I25" s="14"/>
      <c r="J25" s="14"/>
      <c r="L25" s="12"/>
      <c r="N25" s="12"/>
      <c r="O25" s="12"/>
      <c r="P25" s="12"/>
      <c r="R25" s="12"/>
    </row>
    <row r="26" spans="2:18" s="13" customFormat="1" x14ac:dyDescent="0.3">
      <c r="B26" s="11"/>
      <c r="C26" s="12"/>
      <c r="D26" s="12"/>
      <c r="F26" s="12"/>
      <c r="H26" s="14"/>
      <c r="I26" s="14"/>
      <c r="J26" s="14"/>
      <c r="L26" s="12"/>
      <c r="N26" s="12"/>
      <c r="O26" s="12"/>
      <c r="P26" s="12"/>
      <c r="R26" s="12"/>
    </row>
    <row r="27" spans="2:18" s="13" customFormat="1" x14ac:dyDescent="0.3">
      <c r="B27" s="11"/>
      <c r="C27" s="12"/>
      <c r="D27" s="12"/>
      <c r="F27" s="12"/>
      <c r="H27" s="14"/>
      <c r="I27" s="14"/>
      <c r="J27" s="14"/>
      <c r="L27" s="12"/>
      <c r="N27" s="12"/>
      <c r="O27" s="12"/>
      <c r="P27" s="12"/>
      <c r="R27" s="12"/>
    </row>
    <row r="28" spans="2:18" s="13" customFormat="1" x14ac:dyDescent="0.3">
      <c r="B28" s="11"/>
      <c r="C28" s="12"/>
      <c r="D28" s="12"/>
      <c r="F28" s="12"/>
      <c r="H28" s="14"/>
      <c r="I28" s="14"/>
      <c r="J28" s="14"/>
      <c r="L28" s="12"/>
      <c r="N28" s="12"/>
      <c r="O28" s="12"/>
      <c r="P28" s="12"/>
      <c r="R28" s="12"/>
    </row>
    <row r="29" spans="2:18" s="13" customFormat="1" x14ac:dyDescent="0.3">
      <c r="B29" s="11"/>
      <c r="C29" s="12"/>
      <c r="D29" s="12"/>
      <c r="F29" s="12"/>
      <c r="H29" s="14"/>
      <c r="I29" s="14"/>
      <c r="J29" s="14"/>
      <c r="L29" s="12"/>
      <c r="N29" s="12"/>
      <c r="O29" s="12"/>
      <c r="P29" s="12"/>
      <c r="R29" s="12"/>
    </row>
    <row r="30" spans="2:18" s="13" customFormat="1" x14ac:dyDescent="0.3">
      <c r="B30" s="11"/>
      <c r="C30" s="12"/>
      <c r="D30" s="12"/>
      <c r="F30" s="12"/>
      <c r="H30" s="14"/>
      <c r="I30" s="14"/>
      <c r="J30" s="14"/>
      <c r="L30" s="12"/>
      <c r="N30" s="12"/>
      <c r="O30" s="12"/>
      <c r="P30" s="12"/>
      <c r="R30" s="12"/>
    </row>
    <row r="31" spans="2:18" s="13" customFormat="1" x14ac:dyDescent="0.3">
      <c r="B31" s="11"/>
      <c r="C31" s="12"/>
      <c r="D31" s="12"/>
      <c r="F31" s="12"/>
      <c r="H31" s="14"/>
      <c r="I31" s="14"/>
      <c r="J31" s="14"/>
      <c r="L31" s="12"/>
      <c r="N31" s="12"/>
      <c r="O31" s="12"/>
      <c r="P31" s="12"/>
      <c r="R31" s="12"/>
    </row>
    <row r="32" spans="2:18" s="13" customFormat="1" x14ac:dyDescent="0.3">
      <c r="B32" s="11"/>
      <c r="C32" s="12"/>
      <c r="D32" s="12"/>
      <c r="F32" s="12"/>
      <c r="H32" s="14"/>
      <c r="I32" s="14"/>
      <c r="J32" s="14"/>
      <c r="L32" s="12"/>
      <c r="N32" s="12"/>
      <c r="O32" s="12"/>
      <c r="P32" s="12"/>
      <c r="R32" s="12"/>
    </row>
    <row r="33" spans="2:18" s="13" customFormat="1" x14ac:dyDescent="0.3">
      <c r="B33" s="11"/>
      <c r="C33" s="12"/>
      <c r="D33" s="12"/>
      <c r="F33" s="12"/>
      <c r="H33" s="14"/>
      <c r="I33" s="14"/>
      <c r="J33" s="14"/>
      <c r="L33" s="12"/>
      <c r="N33" s="12"/>
      <c r="O33" s="12"/>
      <c r="P33" s="12"/>
      <c r="R33" s="12"/>
    </row>
    <row r="34" spans="2:18" s="13" customFormat="1" x14ac:dyDescent="0.3">
      <c r="B34" s="11"/>
      <c r="C34" s="12"/>
      <c r="D34" s="12"/>
      <c r="F34" s="12"/>
      <c r="H34" s="14"/>
      <c r="I34" s="14"/>
      <c r="J34" s="14"/>
      <c r="L34" s="12"/>
      <c r="N34" s="12"/>
      <c r="O34" s="12"/>
      <c r="P34" s="12"/>
      <c r="R34" s="12"/>
    </row>
    <row r="35" spans="2:18" s="13" customFormat="1" x14ac:dyDescent="0.3">
      <c r="B35" s="11"/>
      <c r="C35" s="12"/>
      <c r="D35" s="12"/>
      <c r="F35" s="12"/>
      <c r="H35" s="14"/>
      <c r="I35" s="14"/>
      <c r="J35" s="14"/>
      <c r="L35" s="12"/>
      <c r="N35" s="12"/>
      <c r="O35" s="12"/>
      <c r="P35" s="12"/>
      <c r="R35" s="12"/>
    </row>
    <row r="36" spans="2:18" s="13" customFormat="1" x14ac:dyDescent="0.3">
      <c r="B36" s="11"/>
      <c r="C36" s="12"/>
      <c r="D36" s="12"/>
      <c r="F36" s="12"/>
      <c r="H36" s="14"/>
      <c r="I36" s="14"/>
      <c r="J36" s="14"/>
      <c r="L36" s="12"/>
      <c r="N36" s="12"/>
      <c r="O36" s="12"/>
      <c r="P36" s="12"/>
      <c r="R36" s="12"/>
    </row>
    <row r="37" spans="2:18" s="13" customFormat="1" x14ac:dyDescent="0.3">
      <c r="B37" s="11"/>
      <c r="C37" s="12"/>
      <c r="D37" s="12"/>
      <c r="F37" s="12"/>
      <c r="H37" s="14"/>
      <c r="I37" s="14"/>
      <c r="J37" s="14"/>
      <c r="L37" s="12"/>
      <c r="N37" s="12"/>
      <c r="O37" s="12"/>
      <c r="P37" s="12"/>
      <c r="R37" s="12"/>
    </row>
    <row r="38" spans="2:18" s="13" customFormat="1" x14ac:dyDescent="0.3">
      <c r="B38" s="11"/>
      <c r="C38" s="12"/>
      <c r="D38" s="12"/>
      <c r="F38" s="12"/>
      <c r="H38" s="14"/>
      <c r="I38" s="14"/>
      <c r="J38" s="14"/>
      <c r="L38" s="12"/>
      <c r="N38" s="12"/>
      <c r="O38" s="12"/>
      <c r="P38" s="12"/>
      <c r="R38" s="12"/>
    </row>
    <row r="39" spans="2:18" s="13" customFormat="1" x14ac:dyDescent="0.3">
      <c r="B39" s="11"/>
      <c r="C39" s="12"/>
      <c r="D39" s="12"/>
      <c r="F39" s="12"/>
      <c r="H39" s="14"/>
      <c r="I39" s="14"/>
      <c r="J39" s="14"/>
      <c r="L39" s="12"/>
      <c r="N39" s="12"/>
      <c r="O39" s="12"/>
      <c r="P39" s="12"/>
      <c r="R39" s="12"/>
    </row>
    <row r="40" spans="2:18" s="13" customFormat="1" x14ac:dyDescent="0.3">
      <c r="B40" s="11"/>
      <c r="C40" s="12"/>
      <c r="D40" s="12"/>
      <c r="F40" s="12"/>
      <c r="H40" s="14"/>
      <c r="I40" s="14"/>
      <c r="J40" s="14"/>
      <c r="L40" s="12"/>
      <c r="N40" s="12"/>
      <c r="O40" s="12"/>
      <c r="P40" s="12"/>
      <c r="R40" s="12"/>
    </row>
    <row r="41" spans="2:18" s="13" customFormat="1" x14ac:dyDescent="0.3">
      <c r="B41" s="11"/>
      <c r="C41" s="12"/>
      <c r="D41" s="12"/>
      <c r="F41" s="12"/>
      <c r="H41" s="14"/>
      <c r="I41" s="14"/>
      <c r="J41" s="14"/>
      <c r="L41" s="12"/>
      <c r="N41" s="12"/>
      <c r="O41" s="12"/>
      <c r="P41" s="12"/>
      <c r="R41" s="12"/>
    </row>
    <row r="42" spans="2:18" s="13" customFormat="1" x14ac:dyDescent="0.3">
      <c r="B42" s="11"/>
      <c r="C42" s="12"/>
      <c r="D42" s="12"/>
      <c r="F42" s="12"/>
      <c r="H42" s="14"/>
      <c r="I42" s="14"/>
      <c r="J42" s="14"/>
      <c r="L42" s="12"/>
      <c r="N42" s="12"/>
      <c r="O42" s="12"/>
      <c r="P42" s="12"/>
      <c r="R42" s="12"/>
    </row>
    <row r="43" spans="2:18" s="13" customFormat="1" x14ac:dyDescent="0.3">
      <c r="B43" s="11"/>
      <c r="C43" s="12"/>
      <c r="D43" s="12"/>
      <c r="F43" s="12"/>
      <c r="H43" s="14"/>
      <c r="I43" s="14"/>
      <c r="J43" s="14"/>
      <c r="L43" s="12"/>
      <c r="N43" s="12"/>
      <c r="O43" s="12"/>
      <c r="P43" s="12"/>
      <c r="R43" s="12"/>
    </row>
    <row r="44" spans="2:18" s="13" customFormat="1" x14ac:dyDescent="0.3">
      <c r="B44" s="11"/>
      <c r="C44" s="12"/>
      <c r="D44" s="12"/>
      <c r="F44" s="12"/>
      <c r="H44" s="14"/>
      <c r="I44" s="14"/>
      <c r="J44" s="14"/>
      <c r="L44" s="12"/>
      <c r="N44" s="12"/>
      <c r="O44" s="12"/>
      <c r="P44" s="12"/>
      <c r="R44" s="12"/>
    </row>
    <row r="45" spans="2:18" s="13" customFormat="1" x14ac:dyDescent="0.3">
      <c r="B45" s="11"/>
      <c r="C45" s="12"/>
      <c r="D45" s="12"/>
      <c r="F45" s="12"/>
      <c r="H45" s="14"/>
      <c r="I45" s="14"/>
      <c r="J45" s="14"/>
      <c r="L45" s="12"/>
      <c r="N45" s="12"/>
      <c r="O45" s="12"/>
      <c r="P45" s="12"/>
      <c r="R45" s="12"/>
    </row>
    <row r="46" spans="2:18" s="13" customFormat="1" x14ac:dyDescent="0.3">
      <c r="B46" s="11"/>
      <c r="C46" s="12"/>
      <c r="D46" s="12"/>
      <c r="F46" s="12"/>
      <c r="H46" s="14"/>
      <c r="I46" s="14"/>
      <c r="J46" s="14"/>
      <c r="L46" s="12"/>
      <c r="N46" s="12"/>
      <c r="O46" s="12"/>
      <c r="P46" s="12"/>
      <c r="R46" s="12"/>
    </row>
    <row r="47" spans="2:18" s="13" customFormat="1" x14ac:dyDescent="0.3">
      <c r="B47" s="11"/>
      <c r="C47" s="12"/>
      <c r="D47" s="12"/>
      <c r="F47" s="12"/>
      <c r="H47" s="14"/>
      <c r="I47" s="14"/>
      <c r="J47" s="14"/>
      <c r="L47" s="12"/>
      <c r="N47" s="12"/>
      <c r="O47" s="12"/>
      <c r="P47" s="12"/>
      <c r="R47" s="12"/>
    </row>
    <row r="48" spans="2:18" s="13" customFormat="1" x14ac:dyDescent="0.3">
      <c r="B48" s="11"/>
      <c r="C48" s="12"/>
      <c r="D48" s="12"/>
      <c r="F48" s="12"/>
      <c r="H48" s="14"/>
      <c r="I48" s="14"/>
      <c r="J48" s="14"/>
      <c r="L48" s="12"/>
      <c r="N48" s="12"/>
      <c r="O48" s="12"/>
      <c r="P48" s="12"/>
      <c r="R48" s="12"/>
    </row>
    <row r="49" spans="2:18" s="13" customFormat="1" x14ac:dyDescent="0.3">
      <c r="B49" s="11"/>
      <c r="C49" s="12"/>
      <c r="D49" s="12"/>
      <c r="F49" s="12"/>
      <c r="H49" s="14"/>
      <c r="I49" s="14"/>
      <c r="J49" s="14"/>
      <c r="L49" s="12"/>
      <c r="N49" s="12"/>
      <c r="O49" s="12"/>
      <c r="P49" s="12"/>
      <c r="R49" s="12"/>
    </row>
    <row r="50" spans="2:18" s="13" customFormat="1" x14ac:dyDescent="0.3">
      <c r="B50" s="11"/>
      <c r="C50" s="12"/>
      <c r="D50" s="12"/>
      <c r="F50" s="12"/>
      <c r="H50" s="14"/>
      <c r="I50" s="14"/>
      <c r="J50" s="14"/>
      <c r="L50" s="12"/>
      <c r="N50" s="12"/>
      <c r="O50" s="12"/>
      <c r="P50" s="12"/>
      <c r="R50" s="12"/>
    </row>
    <row r="51" spans="2:18" s="13" customFormat="1" x14ac:dyDescent="0.3">
      <c r="B51" s="11"/>
      <c r="C51" s="12"/>
      <c r="D51" s="12"/>
      <c r="F51" s="12"/>
      <c r="H51" s="14"/>
      <c r="I51" s="14"/>
      <c r="J51" s="14"/>
      <c r="L51" s="12"/>
      <c r="N51" s="12"/>
      <c r="O51" s="12"/>
      <c r="P51" s="12"/>
      <c r="R51" s="12"/>
    </row>
    <row r="52" spans="2:18" s="13" customFormat="1" x14ac:dyDescent="0.3">
      <c r="B52" s="11"/>
      <c r="C52" s="12"/>
      <c r="D52" s="12"/>
      <c r="F52" s="12"/>
      <c r="H52" s="14"/>
      <c r="I52" s="14"/>
      <c r="J52" s="14"/>
      <c r="L52" s="12"/>
      <c r="N52" s="12"/>
      <c r="O52" s="12"/>
      <c r="P52" s="12"/>
      <c r="R52" s="12"/>
    </row>
    <row r="53" spans="2:18" s="13" customFormat="1" x14ac:dyDescent="0.3">
      <c r="B53" s="11"/>
      <c r="C53" s="12"/>
      <c r="D53" s="12"/>
      <c r="F53" s="12"/>
      <c r="H53" s="14"/>
      <c r="I53" s="14"/>
      <c r="J53" s="14"/>
      <c r="L53" s="12"/>
      <c r="N53" s="12"/>
      <c r="O53" s="12"/>
      <c r="P53" s="12"/>
      <c r="R53" s="12"/>
    </row>
    <row r="54" spans="2:18" s="13" customFormat="1" x14ac:dyDescent="0.3">
      <c r="B54" s="11"/>
      <c r="C54" s="12"/>
      <c r="D54" s="12"/>
      <c r="F54" s="12"/>
      <c r="H54" s="14"/>
      <c r="I54" s="14"/>
      <c r="J54" s="14"/>
      <c r="L54" s="12"/>
      <c r="N54" s="12"/>
      <c r="O54" s="12"/>
      <c r="P54" s="12"/>
      <c r="R54" s="12"/>
    </row>
  </sheetData>
  <conditionalFormatting sqref="G2:G1048576">
    <cfRule type="cellIs" dxfId="96" priority="1" operator="between">
      <formula>15</formula>
      <formula>2000</formula>
    </cfRule>
    <cfRule type="cellIs" dxfId="95" priority="2" operator="between">
      <formula>6</formula>
      <formula>15</formula>
    </cfRule>
    <cfRule type="cellIs" dxfId="94" priority="3" operator="between">
      <formula>0</formula>
      <formula>5</formula>
    </cfRule>
  </conditionalFormatting>
  <conditionalFormatting sqref="M2:M1048576">
    <cfRule type="containsText" dxfId="93" priority="9" operator="containsText" text="PENDIENTE">
      <formula>NOT(ISERROR(SEARCH("PENDIENTE",M2)))</formula>
    </cfRule>
    <cfRule type="containsText" dxfId="92" priority="10" operator="containsText" text="ENTREGADO">
      <formula>NOT(ISERROR(SEARCH("ENTREGADO",M2)))</formula>
    </cfRule>
  </conditionalFormatting>
  <conditionalFormatting sqref="N2:N1048576">
    <cfRule type="containsText" dxfId="91" priority="4" operator="containsText" text="AJUSTE">
      <formula>NOT(ISERROR(SEARCH("AJUSTE",N2)))</formula>
    </cfRule>
    <cfRule type="containsText" dxfId="90" priority="5" operator="containsText" text="TEMA CLIENTE">
      <formula>NOT(ISERROR(SEARCH("TEMA CLIENTE",N2)))</formula>
    </cfRule>
    <cfRule type="containsText" dxfId="89" priority="6" operator="containsText" text="TRÁNSITO">
      <formula>NOT(ISERROR(SEARCH("TRÁNSITO",N2)))</formula>
    </cfRule>
    <cfRule type="containsText" dxfId="88" priority="7" operator="containsText" text="POR COBRAR">
      <formula>NOT(ISERROR(SEARCH("POR COBRAR",N2)))</formula>
    </cfRule>
    <cfRule type="containsText" dxfId="87" priority="8" operator="containsText" text="COBRABLE">
      <formula>NOT(ISERROR(SEARCH("COBRABLE",N2)))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33BA-6F35-4ADE-A63D-5B682DDF22FD}">
  <sheetPr codeName="Hoja5">
    <tabColor rgb="FFFF0066"/>
  </sheetPr>
  <dimension ref="A1:Q2"/>
  <sheetViews>
    <sheetView showGridLines="0" zoomScale="60" zoomScaleNormal="60" workbookViewId="0">
      <pane ySplit="1" topLeftCell="A2" activePane="bottomLeft" state="frozen"/>
      <selection activeCell="F11" sqref="F11"/>
      <selection pane="bottomLeft" activeCell="F11" sqref="F11"/>
    </sheetView>
  </sheetViews>
  <sheetFormatPr baseColWidth="10" defaultColWidth="9.109375" defaultRowHeight="14.4" x14ac:dyDescent="0.3"/>
  <cols>
    <col min="1" max="1" width="8.5546875" style="11" customWidth="1"/>
    <col min="2" max="2" width="19.44140625" style="12" customWidth="1"/>
    <col min="3" max="3" width="35.109375" style="12" customWidth="1"/>
    <col min="4" max="4" width="9.109375" style="13"/>
    <col min="5" max="5" width="11.5546875" style="12" bestFit="1" customWidth="1"/>
    <col min="6" max="6" width="11.109375" style="13" customWidth="1"/>
    <col min="7" max="9" width="15.5546875" style="12" bestFit="1" customWidth="1"/>
    <col min="10" max="10" width="9.33203125" style="13" customWidth="1"/>
    <col min="11" max="11" width="28.88671875" style="12" bestFit="1" customWidth="1"/>
    <col min="12" max="12" width="13.88671875" style="13" bestFit="1" customWidth="1"/>
    <col min="13" max="13" width="15" style="12" customWidth="1"/>
    <col min="14" max="14" width="76.88671875" style="12" bestFit="1" customWidth="1"/>
    <col min="15" max="15" width="34.44140625" style="12" bestFit="1" customWidth="1"/>
    <col min="16" max="16" width="25.6640625" style="13" bestFit="1" customWidth="1"/>
    <col min="17" max="17" width="26.44140625" style="12" bestFit="1" customWidth="1"/>
    <col min="18" max="16384" width="9.109375" style="12"/>
  </cols>
  <sheetData>
    <row r="1" spans="1:17" s="20" customFormat="1" ht="33.75" customHeight="1" thickBot="1" x14ac:dyDescent="0.35">
      <c r="A1" s="21" t="s">
        <v>4</v>
      </c>
      <c r="B1" s="21" t="s">
        <v>2</v>
      </c>
      <c r="C1" s="21" t="s">
        <v>3</v>
      </c>
      <c r="D1" s="22" t="s">
        <v>0</v>
      </c>
      <c r="E1" s="22" t="s">
        <v>5</v>
      </c>
      <c r="F1" s="22" t="s">
        <v>6</v>
      </c>
      <c r="G1" s="23" t="s">
        <v>9</v>
      </c>
      <c r="H1" s="23" t="s">
        <v>10</v>
      </c>
      <c r="I1" s="21" t="s">
        <v>11</v>
      </c>
      <c r="J1" s="21" t="s">
        <v>12</v>
      </c>
      <c r="K1" s="22" t="s">
        <v>13</v>
      </c>
      <c r="L1" s="22" t="s">
        <v>18</v>
      </c>
      <c r="M1" s="21" t="s">
        <v>16</v>
      </c>
      <c r="N1" s="21" t="s">
        <v>17</v>
      </c>
      <c r="O1" s="22" t="s">
        <v>23</v>
      </c>
      <c r="P1" s="22" t="s">
        <v>24</v>
      </c>
      <c r="Q1" s="22" t="s">
        <v>25</v>
      </c>
    </row>
    <row r="2" spans="1:17" s="4" customFormat="1" x14ac:dyDescent="0.3">
      <c r="A2" s="52">
        <v>5286</v>
      </c>
      <c r="B2" s="4" t="s">
        <v>223</v>
      </c>
      <c r="C2" s="56" t="s">
        <v>224</v>
      </c>
      <c r="D2" s="5" t="s">
        <v>28</v>
      </c>
      <c r="E2" s="6">
        <v>45523</v>
      </c>
      <c r="F2" s="5">
        <v>0</v>
      </c>
      <c r="G2" s="30">
        <v>254465.83</v>
      </c>
      <c r="H2" s="30">
        <v>155529.82</v>
      </c>
      <c r="I2" s="31">
        <f>G2-H2</f>
        <v>98936.00999999998</v>
      </c>
      <c r="J2" s="17" t="s">
        <v>8</v>
      </c>
      <c r="K2" s="16" t="s">
        <v>225</v>
      </c>
      <c r="L2" s="5" t="s">
        <v>19</v>
      </c>
      <c r="M2" s="4" t="s">
        <v>212</v>
      </c>
      <c r="N2" s="16" t="s">
        <v>230</v>
      </c>
      <c r="P2" s="5"/>
      <c r="Q2" s="9"/>
    </row>
  </sheetData>
  <conditionalFormatting sqref="A1:A1048576">
    <cfRule type="duplicateValues" dxfId="86" priority="1"/>
  </conditionalFormatting>
  <conditionalFormatting sqref="F2:F1048576">
    <cfRule type="cellIs" dxfId="85" priority="2" operator="between">
      <formula>15</formula>
      <formula>2000</formula>
    </cfRule>
    <cfRule type="cellIs" dxfId="84" priority="3" operator="between">
      <formula>6</formula>
      <formula>15</formula>
    </cfRule>
    <cfRule type="cellIs" dxfId="83" priority="4" operator="between">
      <formula>0</formula>
      <formula>5</formula>
    </cfRule>
  </conditionalFormatting>
  <conditionalFormatting sqref="L2:L1048576">
    <cfRule type="containsText" dxfId="82" priority="10" operator="containsText" text="PENDIENTE">
      <formula>NOT(ISERROR(SEARCH("PENDIENTE",L2)))</formula>
    </cfRule>
    <cfRule type="containsText" dxfId="81" priority="11" operator="containsText" text="ENTREGADO">
      <formula>NOT(ISERROR(SEARCH("ENTREGADO",L2)))</formula>
    </cfRule>
  </conditionalFormatting>
  <conditionalFormatting sqref="M2:M1048576">
    <cfRule type="containsText" dxfId="80" priority="5" operator="containsText" text="AJUSTE">
      <formula>NOT(ISERROR(SEARCH("AJUSTE",M2)))</formula>
    </cfRule>
    <cfRule type="containsText" dxfId="79" priority="6" operator="containsText" text="TEMA CLIENTE">
      <formula>NOT(ISERROR(SEARCH("TEMA CLIENTE",M2)))</formula>
    </cfRule>
    <cfRule type="containsText" dxfId="78" priority="7" operator="containsText" text="TRÁNSITO">
      <formula>NOT(ISERROR(SEARCH("TRÁNSITO",M2)))</formula>
    </cfRule>
    <cfRule type="containsText" dxfId="77" priority="8" operator="containsText" text="POR COBRAR">
      <formula>NOT(ISERROR(SEARCH("POR COBRAR",M2)))</formula>
    </cfRule>
    <cfRule type="containsText" dxfId="76" priority="9" operator="containsText" text="COBRABLE">
      <formula>NOT(ISERROR(SEARCH("COBRABLE",M2)))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AA55-56C4-493C-AEE2-EE96FB0E0240}">
  <sheetPr>
    <tabColor rgb="FFFF0066"/>
  </sheetPr>
  <dimension ref="A1:Q2"/>
  <sheetViews>
    <sheetView showGridLines="0" zoomScale="60" zoomScaleNormal="60" workbookViewId="0">
      <pane ySplit="1" topLeftCell="A2" activePane="bottomLeft" state="frozen"/>
      <selection activeCell="F11" sqref="F11"/>
      <selection pane="bottomLeft" activeCell="F11" sqref="F11"/>
    </sheetView>
  </sheetViews>
  <sheetFormatPr baseColWidth="10" defaultColWidth="9.109375" defaultRowHeight="14.4" x14ac:dyDescent="0.3"/>
  <cols>
    <col min="1" max="1" width="8.5546875" style="11" customWidth="1"/>
    <col min="2" max="2" width="19.44140625" style="12" customWidth="1"/>
    <col min="3" max="3" width="35.109375" style="12" customWidth="1"/>
    <col min="4" max="4" width="9.109375" style="13"/>
    <col min="5" max="5" width="11.5546875" style="12" bestFit="1" customWidth="1"/>
    <col min="6" max="6" width="11.109375" style="13" customWidth="1"/>
    <col min="7" max="9" width="15.5546875" style="12" bestFit="1" customWidth="1"/>
    <col min="10" max="10" width="9.33203125" style="13" customWidth="1"/>
    <col min="11" max="11" width="28.88671875" style="12" bestFit="1" customWidth="1"/>
    <col min="12" max="12" width="13.88671875" style="13" bestFit="1" customWidth="1"/>
    <col min="13" max="13" width="15" style="12" customWidth="1"/>
    <col min="14" max="14" width="76.88671875" style="12" bestFit="1" customWidth="1"/>
    <col min="15" max="15" width="34.44140625" style="12" bestFit="1" customWidth="1"/>
    <col min="16" max="16" width="25.6640625" style="13" bestFit="1" customWidth="1"/>
    <col min="17" max="17" width="26.44140625" style="12" bestFit="1" customWidth="1"/>
    <col min="18" max="16384" width="9.109375" style="12"/>
  </cols>
  <sheetData>
    <row r="1" spans="1:17" s="20" customFormat="1" ht="33.75" customHeight="1" thickBot="1" x14ac:dyDescent="0.35">
      <c r="A1" s="21" t="s">
        <v>4</v>
      </c>
      <c r="B1" s="21" t="s">
        <v>2</v>
      </c>
      <c r="C1" s="21" t="s">
        <v>3</v>
      </c>
      <c r="D1" s="22" t="s">
        <v>0</v>
      </c>
      <c r="E1" s="22" t="s">
        <v>5</v>
      </c>
      <c r="F1" s="22" t="s">
        <v>6</v>
      </c>
      <c r="G1" s="23" t="s">
        <v>9</v>
      </c>
      <c r="H1" s="23" t="s">
        <v>10</v>
      </c>
      <c r="I1" s="21" t="s">
        <v>11</v>
      </c>
      <c r="J1" s="21" t="s">
        <v>12</v>
      </c>
      <c r="K1" s="22" t="s">
        <v>13</v>
      </c>
      <c r="L1" s="22" t="s">
        <v>18</v>
      </c>
      <c r="M1" s="21" t="s">
        <v>16</v>
      </c>
      <c r="N1" s="21" t="s">
        <v>17</v>
      </c>
      <c r="O1" s="22" t="s">
        <v>23</v>
      </c>
      <c r="P1" s="22" t="s">
        <v>24</v>
      </c>
      <c r="Q1" s="22" t="s">
        <v>25</v>
      </c>
    </row>
    <row r="2" spans="1:17" s="4" customFormat="1" x14ac:dyDescent="0.3">
      <c r="A2" s="52">
        <v>4553</v>
      </c>
      <c r="B2" s="4" t="s">
        <v>226</v>
      </c>
      <c r="C2" s="56" t="s">
        <v>227</v>
      </c>
      <c r="D2" s="5" t="s">
        <v>28</v>
      </c>
      <c r="E2" s="6">
        <v>45429</v>
      </c>
      <c r="F2" s="5">
        <v>0</v>
      </c>
      <c r="G2" s="30">
        <v>49586.11</v>
      </c>
      <c r="H2" s="30">
        <v>34562.54</v>
      </c>
      <c r="I2" s="31">
        <f>G2-H2</f>
        <v>15023.57</v>
      </c>
      <c r="J2" s="17" t="s">
        <v>8</v>
      </c>
      <c r="K2" s="16" t="s">
        <v>225</v>
      </c>
      <c r="L2" s="5" t="s">
        <v>19</v>
      </c>
      <c r="M2" s="4" t="s">
        <v>212</v>
      </c>
      <c r="N2" s="16" t="s">
        <v>257</v>
      </c>
      <c r="P2" s="5"/>
      <c r="Q2" s="9"/>
    </row>
  </sheetData>
  <conditionalFormatting sqref="A1:A1048576">
    <cfRule type="duplicateValues" dxfId="75" priority="1"/>
  </conditionalFormatting>
  <conditionalFormatting sqref="F2:F1048576">
    <cfRule type="cellIs" dxfId="74" priority="2" operator="between">
      <formula>15</formula>
      <formula>2000</formula>
    </cfRule>
    <cfRule type="cellIs" dxfId="73" priority="3" operator="between">
      <formula>6</formula>
      <formula>15</formula>
    </cfRule>
    <cfRule type="cellIs" dxfId="72" priority="4" operator="between">
      <formula>0</formula>
      <formula>5</formula>
    </cfRule>
  </conditionalFormatting>
  <conditionalFormatting sqref="L2:L1048576">
    <cfRule type="containsText" dxfId="71" priority="10" operator="containsText" text="PENDIENTE">
      <formula>NOT(ISERROR(SEARCH("PENDIENTE",L2)))</formula>
    </cfRule>
    <cfRule type="containsText" dxfId="70" priority="11" operator="containsText" text="ENTREGADO">
      <formula>NOT(ISERROR(SEARCH("ENTREGADO",L2)))</formula>
    </cfRule>
  </conditionalFormatting>
  <conditionalFormatting sqref="M2:M1048576">
    <cfRule type="containsText" dxfId="69" priority="5" operator="containsText" text="AJUSTE">
      <formula>NOT(ISERROR(SEARCH("AJUSTE",M2)))</formula>
    </cfRule>
    <cfRule type="containsText" dxfId="68" priority="6" operator="containsText" text="TEMA CLIENTE">
      <formula>NOT(ISERROR(SEARCH("TEMA CLIENTE",M2)))</formula>
    </cfRule>
    <cfRule type="containsText" dxfId="67" priority="7" operator="containsText" text="TRÁNSITO">
      <formula>NOT(ISERROR(SEARCH("TRÁNSITO",M2)))</formula>
    </cfRule>
    <cfRule type="containsText" dxfId="66" priority="8" operator="containsText" text="POR COBRAR">
      <formula>NOT(ISERROR(SEARCH("POR COBRAR",M2)))</formula>
    </cfRule>
    <cfRule type="containsText" dxfId="65" priority="9" operator="containsText" text="COBRABLE">
      <formula>NOT(ISERROR(SEARCH("COBRABLE",M2)))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7BD0-E81C-4509-8535-63CA05A7B48E}">
  <sheetPr codeName="Hoja8"/>
  <dimension ref="A1:XEX36"/>
  <sheetViews>
    <sheetView showGridLines="0" tabSelected="1" topLeftCell="B1" zoomScale="81" zoomScaleNormal="100" workbookViewId="0">
      <pane ySplit="1" topLeftCell="A2" activePane="bottomLeft" state="frozen"/>
      <selection activeCell="N23" sqref="N23"/>
      <selection pane="bottomLeft" activeCell="D39" sqref="D39"/>
    </sheetView>
  </sheetViews>
  <sheetFormatPr baseColWidth="10" defaultColWidth="9.109375" defaultRowHeight="14.4" x14ac:dyDescent="0.3"/>
  <cols>
    <col min="1" max="1" width="8.5546875" style="11" customWidth="1"/>
    <col min="2" max="2" width="42.6640625" style="13" bestFit="1" customWidth="1"/>
    <col min="3" max="3" width="30.5546875" style="13" bestFit="1" customWidth="1"/>
    <col min="4" max="4" width="10.88671875" style="13" customWidth="1"/>
    <col min="5" max="5" width="14.88671875" style="13" customWidth="1"/>
    <col min="6" max="6" width="4.6640625" style="88" customWidth="1"/>
    <col min="7" max="9" width="16.33203125" style="93" bestFit="1" customWidth="1"/>
    <col min="10" max="10" width="10.6640625" style="13" customWidth="1"/>
    <col min="11" max="11" width="28.88671875" style="13" hidden="1" customWidth="1"/>
    <col min="12" max="12" width="0.109375" style="13" customWidth="1"/>
    <col min="13" max="13" width="15" style="13" customWidth="1"/>
    <col min="14" max="14" width="76.88671875" style="13" customWidth="1"/>
    <col min="15" max="15" width="34.44140625" style="13" hidden="1" customWidth="1"/>
    <col min="16" max="16" width="25.6640625" style="13" hidden="1" customWidth="1"/>
    <col min="17" max="17" width="26.44140625" style="13" hidden="1" customWidth="1"/>
    <col min="18" max="19" width="0" style="13" hidden="1" customWidth="1"/>
    <col min="20" max="16384" width="9.109375" style="13"/>
  </cols>
  <sheetData>
    <row r="1" spans="1:16378" s="89" customFormat="1" ht="33.75" customHeight="1" thickBot="1" x14ac:dyDescent="0.35">
      <c r="A1" s="21" t="s">
        <v>4</v>
      </c>
      <c r="B1" s="21" t="s">
        <v>2</v>
      </c>
      <c r="C1" s="21" t="s">
        <v>3</v>
      </c>
      <c r="D1" s="22" t="s">
        <v>0</v>
      </c>
      <c r="E1" s="22" t="s">
        <v>5</v>
      </c>
      <c r="F1" s="86"/>
      <c r="G1" s="58" t="s">
        <v>9</v>
      </c>
      <c r="H1" s="58" t="s">
        <v>10</v>
      </c>
      <c r="I1" s="58" t="s">
        <v>11</v>
      </c>
      <c r="J1" s="21" t="s">
        <v>12</v>
      </c>
      <c r="K1" s="22" t="s">
        <v>13</v>
      </c>
      <c r="L1" s="22" t="s">
        <v>18</v>
      </c>
      <c r="M1" s="21" t="s">
        <v>16</v>
      </c>
      <c r="N1" s="21" t="s">
        <v>17</v>
      </c>
      <c r="O1" s="22" t="s">
        <v>23</v>
      </c>
      <c r="P1" s="22" t="s">
        <v>24</v>
      </c>
      <c r="Q1" s="22" t="s">
        <v>25</v>
      </c>
    </row>
    <row r="2" spans="1:16378" s="94" customFormat="1" x14ac:dyDescent="0.3">
      <c r="A2" s="3">
        <v>9755</v>
      </c>
      <c r="B2" s="5" t="s">
        <v>204</v>
      </c>
      <c r="C2" s="5" t="s">
        <v>188</v>
      </c>
      <c r="D2" s="5" t="s">
        <v>7</v>
      </c>
      <c r="E2" s="27">
        <v>46192</v>
      </c>
      <c r="F2" s="5"/>
      <c r="G2" s="90">
        <v>171726.52</v>
      </c>
      <c r="H2" s="90">
        <v>0</v>
      </c>
      <c r="I2" s="91">
        <v>171726.52</v>
      </c>
      <c r="J2" s="17" t="s">
        <v>8</v>
      </c>
      <c r="K2" s="5"/>
      <c r="L2" s="5" t="s">
        <v>21</v>
      </c>
      <c r="M2" s="5"/>
      <c r="N2" s="5" t="s">
        <v>283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</row>
    <row r="3" spans="1:16378" s="5" customFormat="1" x14ac:dyDescent="0.3">
      <c r="A3" s="3">
        <v>9838</v>
      </c>
      <c r="B3" s="5" t="s">
        <v>204</v>
      </c>
      <c r="C3" s="5" t="s">
        <v>188</v>
      </c>
      <c r="D3" s="5" t="s">
        <v>7</v>
      </c>
      <c r="E3" s="27">
        <v>46205</v>
      </c>
      <c r="G3" s="90">
        <v>1617.09</v>
      </c>
      <c r="H3" s="90">
        <v>0</v>
      </c>
      <c r="I3" s="91">
        <f t="shared" ref="I3:I9" si="0">G3-H3</f>
        <v>1617.09</v>
      </c>
      <c r="J3" s="17" t="s">
        <v>8</v>
      </c>
      <c r="K3" s="78"/>
      <c r="M3" s="5" t="s">
        <v>21</v>
      </c>
      <c r="N3" s="5" t="s">
        <v>283</v>
      </c>
      <c r="O3" s="78"/>
      <c r="P3" s="78"/>
      <c r="Q3" s="78"/>
      <c r="R3" s="78"/>
      <c r="S3" s="78"/>
    </row>
    <row r="4" spans="1:16378" s="5" customFormat="1" x14ac:dyDescent="0.3">
      <c r="A4" s="3">
        <v>8707</v>
      </c>
      <c r="B4" s="5" t="s">
        <v>204</v>
      </c>
      <c r="C4" s="5" t="s">
        <v>188</v>
      </c>
      <c r="D4" s="5" t="s">
        <v>7</v>
      </c>
      <c r="E4" s="27">
        <v>46020</v>
      </c>
      <c r="G4" s="90">
        <v>139586.63</v>
      </c>
      <c r="H4" s="90">
        <v>126041.76</v>
      </c>
      <c r="I4" s="91">
        <f t="shared" si="0"/>
        <v>13544.87000000001</v>
      </c>
      <c r="J4" s="17" t="s">
        <v>8</v>
      </c>
      <c r="K4" s="77" t="s">
        <v>34</v>
      </c>
      <c r="M4" s="5" t="s">
        <v>21</v>
      </c>
      <c r="N4" s="5" t="s">
        <v>280</v>
      </c>
      <c r="O4" s="77"/>
      <c r="P4" s="77"/>
      <c r="Q4" s="77"/>
      <c r="R4" s="77"/>
      <c r="S4" s="77"/>
    </row>
    <row r="5" spans="1:16378" s="5" customFormat="1" x14ac:dyDescent="0.3">
      <c r="A5" s="3">
        <v>9606</v>
      </c>
      <c r="B5" s="5" t="s">
        <v>204</v>
      </c>
      <c r="C5" s="5" t="s">
        <v>188</v>
      </c>
      <c r="D5" s="5" t="s">
        <v>7</v>
      </c>
      <c r="E5" s="27">
        <v>46170</v>
      </c>
      <c r="G5" s="90">
        <v>6542.75</v>
      </c>
      <c r="H5" s="90">
        <v>0</v>
      </c>
      <c r="I5" s="91">
        <f t="shared" si="0"/>
        <v>6542.75</v>
      </c>
      <c r="J5" s="17" t="s">
        <v>8</v>
      </c>
      <c r="K5" s="78"/>
      <c r="M5" s="5" t="s">
        <v>21</v>
      </c>
      <c r="N5" s="5" t="s">
        <v>283</v>
      </c>
      <c r="O5" s="78"/>
      <c r="P5" s="78"/>
      <c r="Q5" s="78"/>
      <c r="R5" s="78"/>
      <c r="S5" s="78"/>
    </row>
    <row r="6" spans="1:16378" s="5" customFormat="1" x14ac:dyDescent="0.3">
      <c r="A6" s="3">
        <v>9645</v>
      </c>
      <c r="B6" s="5" t="s">
        <v>204</v>
      </c>
      <c r="C6" s="5" t="s">
        <v>188</v>
      </c>
      <c r="D6" s="5" t="s">
        <v>7</v>
      </c>
      <c r="E6" s="27">
        <v>46177</v>
      </c>
      <c r="G6" s="90">
        <v>26277.200000000001</v>
      </c>
      <c r="H6" s="90">
        <v>0</v>
      </c>
      <c r="I6" s="91">
        <f t="shared" si="0"/>
        <v>26277.200000000001</v>
      </c>
      <c r="J6" s="17" t="s">
        <v>8</v>
      </c>
      <c r="K6" s="78"/>
      <c r="M6" s="5" t="s">
        <v>21</v>
      </c>
      <c r="N6" s="5" t="s">
        <v>283</v>
      </c>
      <c r="O6" s="78"/>
      <c r="P6" s="78"/>
      <c r="Q6" s="78"/>
      <c r="R6" s="78"/>
      <c r="S6" s="78"/>
    </row>
    <row r="7" spans="1:16378" s="5" customFormat="1" x14ac:dyDescent="0.3">
      <c r="A7" s="3">
        <v>9647</v>
      </c>
      <c r="B7" s="5" t="s">
        <v>204</v>
      </c>
      <c r="C7" s="5" t="s">
        <v>188</v>
      </c>
      <c r="D7" s="5" t="s">
        <v>7</v>
      </c>
      <c r="E7" s="27">
        <v>46177</v>
      </c>
      <c r="G7" s="90">
        <v>24962.5</v>
      </c>
      <c r="H7" s="90">
        <v>0</v>
      </c>
      <c r="I7" s="91">
        <f t="shared" si="0"/>
        <v>24962.5</v>
      </c>
      <c r="J7" s="17" t="s">
        <v>8</v>
      </c>
      <c r="K7" s="78"/>
      <c r="M7" s="5" t="s">
        <v>21</v>
      </c>
      <c r="N7" s="5" t="s">
        <v>283</v>
      </c>
      <c r="O7" s="78"/>
      <c r="P7" s="78"/>
      <c r="Q7" s="78"/>
      <c r="R7" s="78"/>
      <c r="S7" s="78"/>
    </row>
    <row r="8" spans="1:16378" x14ac:dyDescent="0.3">
      <c r="A8" s="11">
        <v>10106</v>
      </c>
      <c r="B8" s="5" t="s">
        <v>204</v>
      </c>
      <c r="C8" s="5" t="s">
        <v>188</v>
      </c>
      <c r="D8" s="13" t="s">
        <v>7</v>
      </c>
      <c r="E8" s="51">
        <v>46247</v>
      </c>
      <c r="F8" s="13"/>
      <c r="G8" s="92">
        <v>15339.1</v>
      </c>
      <c r="H8" s="92">
        <v>0</v>
      </c>
      <c r="I8" s="92">
        <f t="shared" si="0"/>
        <v>15339.1</v>
      </c>
      <c r="J8" s="13" t="s">
        <v>8</v>
      </c>
      <c r="M8" s="5" t="s">
        <v>21</v>
      </c>
      <c r="N8" s="5" t="s">
        <v>283</v>
      </c>
    </row>
    <row r="9" spans="1:16378" s="5" customFormat="1" x14ac:dyDescent="0.3">
      <c r="A9" s="3">
        <v>8642</v>
      </c>
      <c r="B9" s="5" t="s">
        <v>204</v>
      </c>
      <c r="C9" s="5" t="s">
        <v>188</v>
      </c>
      <c r="D9" s="5" t="s">
        <v>7</v>
      </c>
      <c r="E9" s="27">
        <v>46003</v>
      </c>
      <c r="G9" s="90">
        <v>1472914.25</v>
      </c>
      <c r="H9" s="90">
        <v>1369502.82</v>
      </c>
      <c r="I9" s="90">
        <f t="shared" si="0"/>
        <v>103411.42999999993</v>
      </c>
      <c r="J9" s="5" t="s">
        <v>8</v>
      </c>
      <c r="K9" s="78"/>
      <c r="M9" s="5" t="s">
        <v>21</v>
      </c>
      <c r="N9" s="5" t="s">
        <v>280</v>
      </c>
      <c r="O9" s="78"/>
      <c r="P9" s="78"/>
      <c r="Q9" s="78"/>
      <c r="R9" s="78"/>
      <c r="S9" s="78"/>
    </row>
    <row r="10" spans="1:16378" s="5" customFormat="1" x14ac:dyDescent="0.3">
      <c r="A10" s="3">
        <v>8668</v>
      </c>
      <c r="B10" s="5" t="s">
        <v>204</v>
      </c>
      <c r="C10" s="5" t="s">
        <v>96</v>
      </c>
      <c r="D10" s="5" t="s">
        <v>7</v>
      </c>
      <c r="E10" s="27">
        <v>46008</v>
      </c>
      <c r="G10" s="90">
        <v>58275.77</v>
      </c>
      <c r="H10" s="90">
        <v>48275.79</v>
      </c>
      <c r="I10" s="91">
        <f t="shared" ref="I10" si="1">G10-H10</f>
        <v>9999.9799999999959</v>
      </c>
      <c r="J10" s="17" t="s">
        <v>8</v>
      </c>
      <c r="K10" s="77"/>
      <c r="M10" s="5" t="s">
        <v>21</v>
      </c>
      <c r="N10" s="5" t="s">
        <v>279</v>
      </c>
      <c r="O10" s="77"/>
      <c r="P10" s="77"/>
      <c r="Q10" s="77"/>
      <c r="R10" s="77"/>
      <c r="S10" s="77"/>
    </row>
    <row r="11" spans="1:16378" s="5" customFormat="1" x14ac:dyDescent="0.3">
      <c r="A11" s="3">
        <v>8643</v>
      </c>
      <c r="B11" s="5" t="s">
        <v>204</v>
      </c>
      <c r="C11" s="5" t="s">
        <v>188</v>
      </c>
      <c r="D11" s="5" t="s">
        <v>7</v>
      </c>
      <c r="E11" s="27">
        <v>46003</v>
      </c>
      <c r="G11" s="90">
        <v>105719.32</v>
      </c>
      <c r="H11" s="90">
        <v>97037.24</v>
      </c>
      <c r="I11" s="91">
        <f t="shared" ref="I11:I17" si="2">G11-H11</f>
        <v>8682.0800000000017</v>
      </c>
      <c r="J11" s="17" t="s">
        <v>26</v>
      </c>
      <c r="K11" s="77" t="s">
        <v>197</v>
      </c>
      <c r="M11" s="5" t="s">
        <v>21</v>
      </c>
      <c r="N11" s="5" t="s">
        <v>280</v>
      </c>
      <c r="O11" s="77"/>
      <c r="P11" s="77"/>
      <c r="Q11" s="77"/>
      <c r="R11" s="77"/>
      <c r="S11" s="77"/>
    </row>
    <row r="12" spans="1:16378" s="5" customFormat="1" x14ac:dyDescent="0.3">
      <c r="A12" s="3">
        <v>9813</v>
      </c>
      <c r="B12" s="5" t="s">
        <v>204</v>
      </c>
      <c r="C12" s="5" t="s">
        <v>188</v>
      </c>
      <c r="D12" s="5" t="s">
        <v>7</v>
      </c>
      <c r="E12" s="27">
        <v>46199</v>
      </c>
      <c r="G12" s="90">
        <v>5045.6499999999996</v>
      </c>
      <c r="H12" s="90">
        <v>0</v>
      </c>
      <c r="I12" s="91">
        <f t="shared" si="2"/>
        <v>5045.6499999999996</v>
      </c>
      <c r="J12" s="17" t="s">
        <v>26</v>
      </c>
      <c r="K12" s="77"/>
      <c r="M12" s="5" t="s">
        <v>21</v>
      </c>
      <c r="N12" s="5" t="s">
        <v>282</v>
      </c>
      <c r="O12" s="77"/>
      <c r="P12" s="77"/>
      <c r="Q12" s="77"/>
      <c r="R12" s="77"/>
      <c r="S12" s="77"/>
    </row>
    <row r="13" spans="1:16378" s="5" customFormat="1" x14ac:dyDescent="0.3">
      <c r="A13" s="3">
        <v>9789</v>
      </c>
      <c r="B13" s="5" t="s">
        <v>204</v>
      </c>
      <c r="C13" s="5" t="s">
        <v>188</v>
      </c>
      <c r="D13" s="5" t="s">
        <v>7</v>
      </c>
      <c r="E13" s="27" t="s">
        <v>265</v>
      </c>
      <c r="G13" s="90">
        <v>14114.65</v>
      </c>
      <c r="H13" s="90">
        <v>0</v>
      </c>
      <c r="I13" s="91">
        <f t="shared" si="2"/>
        <v>14114.65</v>
      </c>
      <c r="J13" s="17" t="s">
        <v>26</v>
      </c>
      <c r="K13" s="77"/>
      <c r="M13" s="5" t="s">
        <v>21</v>
      </c>
      <c r="N13" s="5" t="s">
        <v>282</v>
      </c>
      <c r="O13" s="77"/>
      <c r="P13" s="77"/>
      <c r="Q13" s="77"/>
      <c r="R13" s="77"/>
      <c r="S13" s="77"/>
    </row>
    <row r="14" spans="1:16378" s="5" customFormat="1" x14ac:dyDescent="0.3">
      <c r="A14" s="3">
        <v>9573</v>
      </c>
      <c r="B14" s="5" t="s">
        <v>204</v>
      </c>
      <c r="C14" s="5" t="s">
        <v>188</v>
      </c>
      <c r="D14" s="5" t="s">
        <v>7</v>
      </c>
      <c r="E14" s="27">
        <v>46164</v>
      </c>
      <c r="G14" s="90">
        <v>583.04</v>
      </c>
      <c r="H14" s="90">
        <v>0</v>
      </c>
      <c r="I14" s="91">
        <f t="shared" si="2"/>
        <v>583.04</v>
      </c>
      <c r="J14" s="17" t="s">
        <v>26</v>
      </c>
      <c r="K14" s="77"/>
      <c r="M14" s="5" t="s">
        <v>21</v>
      </c>
      <c r="N14" s="5" t="s">
        <v>282</v>
      </c>
      <c r="O14" s="77"/>
      <c r="P14" s="77"/>
      <c r="Q14" s="77"/>
      <c r="R14" s="77"/>
      <c r="S14" s="77"/>
    </row>
    <row r="15" spans="1:16378" s="5" customFormat="1" x14ac:dyDescent="0.3">
      <c r="A15" s="3">
        <v>8644</v>
      </c>
      <c r="B15" s="5" t="s">
        <v>204</v>
      </c>
      <c r="C15" s="5" t="s">
        <v>188</v>
      </c>
      <c r="D15" s="5" t="s">
        <v>28</v>
      </c>
      <c r="E15" s="27">
        <v>46003</v>
      </c>
      <c r="G15" s="90">
        <v>749561.84</v>
      </c>
      <c r="H15" s="90">
        <v>637975.71</v>
      </c>
      <c r="I15" s="91">
        <f t="shared" si="2"/>
        <v>111586.13</v>
      </c>
      <c r="J15" s="17" t="s">
        <v>8</v>
      </c>
      <c r="K15" s="5" t="s">
        <v>198</v>
      </c>
      <c r="M15" s="5" t="s">
        <v>35</v>
      </c>
      <c r="N15" s="5" t="s">
        <v>280</v>
      </c>
    </row>
    <row r="16" spans="1:16378" s="5" customFormat="1" x14ac:dyDescent="0.3">
      <c r="A16" s="3">
        <v>9649</v>
      </c>
      <c r="B16" s="5" t="s">
        <v>204</v>
      </c>
      <c r="C16" s="5" t="s">
        <v>188</v>
      </c>
      <c r="D16" s="5" t="s">
        <v>28</v>
      </c>
      <c r="E16" s="27">
        <v>46177</v>
      </c>
      <c r="G16" s="90">
        <v>59098.73</v>
      </c>
      <c r="H16" s="90">
        <v>0</v>
      </c>
      <c r="I16" s="91">
        <f t="shared" si="2"/>
        <v>59098.73</v>
      </c>
      <c r="J16" s="17" t="s">
        <v>8</v>
      </c>
      <c r="M16" s="5" t="s">
        <v>35</v>
      </c>
      <c r="N16" s="5" t="s">
        <v>283</v>
      </c>
    </row>
    <row r="17" spans="1:19" x14ac:dyDescent="0.3">
      <c r="A17" s="11">
        <v>10161</v>
      </c>
      <c r="B17" s="5" t="s">
        <v>204</v>
      </c>
      <c r="C17" s="5" t="s">
        <v>188</v>
      </c>
      <c r="D17" s="13" t="s">
        <v>28</v>
      </c>
      <c r="E17" s="51">
        <v>46253</v>
      </c>
      <c r="F17" s="13"/>
      <c r="G17" s="92">
        <v>12313.5</v>
      </c>
      <c r="H17" s="92">
        <v>0</v>
      </c>
      <c r="I17" s="92">
        <f t="shared" si="2"/>
        <v>12313.5</v>
      </c>
      <c r="J17" s="13" t="s">
        <v>8</v>
      </c>
      <c r="M17" s="13" t="s">
        <v>35</v>
      </c>
      <c r="N17" s="5" t="s">
        <v>283</v>
      </c>
    </row>
    <row r="18" spans="1:19" s="5" customFormat="1" x14ac:dyDescent="0.3">
      <c r="A18" s="85">
        <v>8761</v>
      </c>
      <c r="B18" s="5" t="s">
        <v>204</v>
      </c>
      <c r="C18" s="5" t="s">
        <v>96</v>
      </c>
      <c r="D18" s="5" t="s">
        <v>7</v>
      </c>
      <c r="E18" s="27">
        <v>46035</v>
      </c>
      <c r="G18" s="90">
        <v>1473.26</v>
      </c>
      <c r="H18" s="90">
        <v>884.56</v>
      </c>
      <c r="I18" s="91">
        <f t="shared" ref="I18:I29" si="3">G18-H18</f>
        <v>588.70000000000005</v>
      </c>
      <c r="J18" s="17" t="s">
        <v>26</v>
      </c>
      <c r="K18" s="77"/>
      <c r="M18" s="5" t="s">
        <v>21</v>
      </c>
      <c r="N18" s="5" t="s">
        <v>281</v>
      </c>
      <c r="O18" s="77"/>
      <c r="P18" s="77"/>
      <c r="Q18" s="77"/>
      <c r="R18" s="77"/>
      <c r="S18" s="77"/>
    </row>
    <row r="19" spans="1:19" s="5" customFormat="1" x14ac:dyDescent="0.3">
      <c r="A19" s="85">
        <v>6398</v>
      </c>
      <c r="B19" s="5" t="s">
        <v>204</v>
      </c>
      <c r="C19" s="5" t="s">
        <v>203</v>
      </c>
      <c r="D19" s="5" t="s">
        <v>7</v>
      </c>
      <c r="E19" s="27">
        <v>45666</v>
      </c>
      <c r="G19" s="90">
        <v>107070.18</v>
      </c>
      <c r="H19" s="90">
        <v>95355.54</v>
      </c>
      <c r="I19" s="91">
        <f t="shared" si="3"/>
        <v>11714.64</v>
      </c>
      <c r="J19" s="17" t="s">
        <v>26</v>
      </c>
      <c r="K19" s="77" t="s">
        <v>113</v>
      </c>
      <c r="L19" s="5" t="s">
        <v>19</v>
      </c>
      <c r="M19" s="5" t="s">
        <v>21</v>
      </c>
      <c r="N19" s="5" t="s">
        <v>249</v>
      </c>
      <c r="O19" s="77" t="s">
        <v>116</v>
      </c>
      <c r="P19" s="77">
        <v>8110322314</v>
      </c>
      <c r="Q19" s="77" t="s">
        <v>117</v>
      </c>
      <c r="R19" s="77"/>
      <c r="S19" s="77"/>
    </row>
    <row r="20" spans="1:19" s="5" customFormat="1" x14ac:dyDescent="0.3">
      <c r="A20" s="85">
        <v>8060</v>
      </c>
      <c r="B20" s="5" t="s">
        <v>204</v>
      </c>
      <c r="C20" s="5" t="s">
        <v>203</v>
      </c>
      <c r="D20" s="5" t="s">
        <v>7</v>
      </c>
      <c r="E20" s="27">
        <v>45919</v>
      </c>
      <c r="G20" s="90">
        <v>34853.589999999997</v>
      </c>
      <c r="H20" s="90">
        <v>34670.79</v>
      </c>
      <c r="I20" s="91">
        <f t="shared" si="3"/>
        <v>182.79999999999563</v>
      </c>
      <c r="J20" s="17" t="s">
        <v>26</v>
      </c>
      <c r="K20" s="77" t="s">
        <v>110</v>
      </c>
      <c r="L20" s="5" t="s">
        <v>20</v>
      </c>
      <c r="M20" s="5" t="s">
        <v>21</v>
      </c>
      <c r="N20" s="5" t="s">
        <v>249</v>
      </c>
      <c r="O20" s="77" t="s">
        <v>116</v>
      </c>
      <c r="P20" s="77">
        <v>8110322314</v>
      </c>
      <c r="Q20" s="77" t="s">
        <v>117</v>
      </c>
      <c r="R20" s="77"/>
      <c r="S20" s="77"/>
    </row>
    <row r="21" spans="1:19" s="5" customFormat="1" x14ac:dyDescent="0.3">
      <c r="A21" s="3">
        <v>9646</v>
      </c>
      <c r="B21" s="5" t="s">
        <v>204</v>
      </c>
      <c r="C21" s="5" t="s">
        <v>188</v>
      </c>
      <c r="D21" s="5" t="s">
        <v>28</v>
      </c>
      <c r="E21" s="27">
        <v>46177</v>
      </c>
      <c r="G21" s="90">
        <v>8052.07</v>
      </c>
      <c r="H21" s="90">
        <v>0</v>
      </c>
      <c r="I21" s="91">
        <f>G21-H21</f>
        <v>8052.07</v>
      </c>
      <c r="J21" s="17" t="s">
        <v>8</v>
      </c>
      <c r="M21" s="5" t="s">
        <v>35</v>
      </c>
      <c r="N21" s="5" t="s">
        <v>283</v>
      </c>
    </row>
    <row r="22" spans="1:19" s="5" customFormat="1" x14ac:dyDescent="0.3">
      <c r="A22" s="85">
        <v>9127</v>
      </c>
      <c r="B22" s="5" t="s">
        <v>204</v>
      </c>
      <c r="C22" s="5" t="s">
        <v>96</v>
      </c>
      <c r="D22" s="5" t="s">
        <v>7</v>
      </c>
      <c r="E22" s="27">
        <v>46222</v>
      </c>
      <c r="G22" s="90">
        <v>566.85</v>
      </c>
      <c r="H22" s="90">
        <v>0</v>
      </c>
      <c r="I22" s="91">
        <f t="shared" si="3"/>
        <v>566.85</v>
      </c>
      <c r="J22" s="17" t="s">
        <v>26</v>
      </c>
      <c r="K22" s="77"/>
      <c r="M22" s="5" t="s">
        <v>21</v>
      </c>
      <c r="N22" s="5" t="s">
        <v>281</v>
      </c>
      <c r="O22" s="77"/>
      <c r="P22" s="77"/>
      <c r="Q22" s="77"/>
      <c r="R22" s="77"/>
      <c r="S22" s="77"/>
    </row>
    <row r="23" spans="1:19" s="5" customFormat="1" x14ac:dyDescent="0.3">
      <c r="A23" s="85">
        <v>8360</v>
      </c>
      <c r="B23" s="5" t="s">
        <v>204</v>
      </c>
      <c r="C23" s="5" t="s">
        <v>203</v>
      </c>
      <c r="D23" s="5" t="s">
        <v>28</v>
      </c>
      <c r="E23" s="27">
        <v>45958</v>
      </c>
      <c r="G23" s="90">
        <v>345085.36</v>
      </c>
      <c r="H23" s="90">
        <v>0</v>
      </c>
      <c r="I23" s="90">
        <f t="shared" si="3"/>
        <v>345085.36</v>
      </c>
      <c r="J23" s="5" t="s">
        <v>8</v>
      </c>
      <c r="K23" s="13"/>
      <c r="M23" s="5" t="s">
        <v>35</v>
      </c>
      <c r="N23" s="5" t="s">
        <v>229</v>
      </c>
      <c r="O23" s="13"/>
      <c r="P23" s="13"/>
      <c r="Q23" s="13"/>
      <c r="R23" s="13"/>
      <c r="S23" s="13"/>
    </row>
    <row r="24" spans="1:19" s="5" customFormat="1" x14ac:dyDescent="0.3">
      <c r="A24" s="85">
        <v>8670</v>
      </c>
      <c r="B24" s="5" t="s">
        <v>204</v>
      </c>
      <c r="C24" s="5" t="s">
        <v>96</v>
      </c>
      <c r="D24" s="5" t="s">
        <v>28</v>
      </c>
      <c r="E24" s="27">
        <v>46008</v>
      </c>
      <c r="G24" s="90">
        <v>41938.31</v>
      </c>
      <c r="H24" s="90">
        <v>30981.11</v>
      </c>
      <c r="I24" s="91">
        <f t="shared" si="3"/>
        <v>10957.199999999997</v>
      </c>
      <c r="J24" s="17" t="s">
        <v>8</v>
      </c>
      <c r="M24" s="5" t="s">
        <v>35</v>
      </c>
      <c r="N24" s="5" t="s">
        <v>279</v>
      </c>
    </row>
    <row r="25" spans="1:19" s="5" customFormat="1" x14ac:dyDescent="0.3">
      <c r="A25" s="85">
        <v>7222</v>
      </c>
      <c r="B25" s="5" t="s">
        <v>204</v>
      </c>
      <c r="C25" s="5" t="s">
        <v>203</v>
      </c>
      <c r="D25" s="5" t="s">
        <v>28</v>
      </c>
      <c r="E25" s="27">
        <v>45798</v>
      </c>
      <c r="G25" s="90">
        <v>4257.32</v>
      </c>
      <c r="H25" s="90">
        <v>2684.23</v>
      </c>
      <c r="I25" s="91">
        <f t="shared" si="3"/>
        <v>1573.0899999999997</v>
      </c>
      <c r="J25" s="17" t="s">
        <v>8</v>
      </c>
      <c r="K25" s="5" t="s">
        <v>115</v>
      </c>
      <c r="L25" s="5" t="s">
        <v>19</v>
      </c>
      <c r="M25" s="5" t="s">
        <v>35</v>
      </c>
      <c r="N25" s="5" t="s">
        <v>229</v>
      </c>
      <c r="O25" s="5" t="s">
        <v>116</v>
      </c>
      <c r="P25" s="5">
        <v>8110322314</v>
      </c>
      <c r="Q25" s="5" t="s">
        <v>117</v>
      </c>
    </row>
    <row r="26" spans="1:19" s="5" customFormat="1" x14ac:dyDescent="0.3">
      <c r="A26" s="85">
        <v>9819</v>
      </c>
      <c r="B26" s="5" t="s">
        <v>204</v>
      </c>
      <c r="C26" s="5" t="s">
        <v>203</v>
      </c>
      <c r="D26" s="5" t="s">
        <v>7</v>
      </c>
      <c r="E26" s="27">
        <v>46202</v>
      </c>
      <c r="G26" s="90">
        <v>135053.85999999999</v>
      </c>
      <c r="H26" s="90">
        <v>0</v>
      </c>
      <c r="I26" s="91">
        <f t="shared" si="3"/>
        <v>135053.85999999999</v>
      </c>
      <c r="J26" s="17" t="s">
        <v>8</v>
      </c>
      <c r="M26" s="5" t="s">
        <v>35</v>
      </c>
      <c r="N26" s="5" t="s">
        <v>267</v>
      </c>
    </row>
    <row r="27" spans="1:19" s="5" customFormat="1" x14ac:dyDescent="0.3">
      <c r="A27" s="85">
        <v>6164</v>
      </c>
      <c r="B27" s="5" t="s">
        <v>204</v>
      </c>
      <c r="C27" s="5" t="s">
        <v>203</v>
      </c>
      <c r="D27" s="5" t="s">
        <v>28</v>
      </c>
      <c r="E27" s="27">
        <v>45628</v>
      </c>
      <c r="G27" s="90">
        <v>1480208.25</v>
      </c>
      <c r="H27" s="90">
        <v>808278.87</v>
      </c>
      <c r="I27" s="91">
        <f t="shared" si="3"/>
        <v>671929.38</v>
      </c>
      <c r="J27" s="17" t="s">
        <v>8</v>
      </c>
      <c r="K27" s="5" t="s">
        <v>114</v>
      </c>
      <c r="L27" s="5" t="s">
        <v>19</v>
      </c>
      <c r="M27" s="5" t="s">
        <v>35</v>
      </c>
      <c r="N27" s="5" t="s">
        <v>249</v>
      </c>
      <c r="O27" s="5" t="s">
        <v>116</v>
      </c>
      <c r="P27" s="5">
        <v>8110322314</v>
      </c>
      <c r="Q27" s="5" t="s">
        <v>117</v>
      </c>
    </row>
    <row r="28" spans="1:19" s="5" customFormat="1" ht="15.75" customHeight="1" x14ac:dyDescent="0.3">
      <c r="A28" s="85">
        <v>6399</v>
      </c>
      <c r="B28" s="5" t="s">
        <v>204</v>
      </c>
      <c r="C28" s="5" t="s">
        <v>203</v>
      </c>
      <c r="D28" s="5" t="s">
        <v>28</v>
      </c>
      <c r="E28" s="27">
        <v>45666</v>
      </c>
      <c r="G28" s="90">
        <v>629491.03</v>
      </c>
      <c r="H28" s="90">
        <v>472336.85</v>
      </c>
      <c r="I28" s="91">
        <f t="shared" si="3"/>
        <v>157154.18000000005</v>
      </c>
      <c r="J28" s="17" t="s">
        <v>8</v>
      </c>
      <c r="K28" s="5" t="s">
        <v>30</v>
      </c>
      <c r="L28" s="5" t="s">
        <v>19</v>
      </c>
      <c r="M28" s="5" t="s">
        <v>35</v>
      </c>
      <c r="N28" s="5" t="s">
        <v>249</v>
      </c>
      <c r="O28" s="5" t="s">
        <v>116</v>
      </c>
      <c r="P28" s="5">
        <v>8110322314</v>
      </c>
      <c r="Q28" s="5" t="s">
        <v>117</v>
      </c>
    </row>
    <row r="29" spans="1:19" s="5" customFormat="1" x14ac:dyDescent="0.3">
      <c r="A29" s="85">
        <v>8065</v>
      </c>
      <c r="B29" s="5" t="s">
        <v>204</v>
      </c>
      <c r="C29" s="5" t="s">
        <v>203</v>
      </c>
      <c r="D29" s="5" t="s">
        <v>28</v>
      </c>
      <c r="E29" s="27">
        <v>45919</v>
      </c>
      <c r="G29" s="90">
        <v>65882.789999999994</v>
      </c>
      <c r="H29" s="90">
        <v>0</v>
      </c>
      <c r="I29" s="91">
        <f t="shared" si="3"/>
        <v>65882.789999999994</v>
      </c>
      <c r="J29" s="17" t="s">
        <v>8</v>
      </c>
      <c r="K29" s="5" t="s">
        <v>111</v>
      </c>
      <c r="L29" s="5" t="s">
        <v>20</v>
      </c>
      <c r="M29" s="5" t="s">
        <v>35</v>
      </c>
      <c r="N29" s="5" t="s">
        <v>249</v>
      </c>
      <c r="O29" s="5" t="s">
        <v>116</v>
      </c>
      <c r="P29" s="5">
        <v>8110322314</v>
      </c>
      <c r="Q29" s="5" t="s">
        <v>117</v>
      </c>
    </row>
    <row r="30" spans="1:19" s="5" customFormat="1" x14ac:dyDescent="0.3">
      <c r="A30" s="85">
        <v>9169</v>
      </c>
      <c r="B30" s="5" t="s">
        <v>204</v>
      </c>
      <c r="C30" s="5" t="s">
        <v>96</v>
      </c>
      <c r="D30" s="5" t="s">
        <v>7</v>
      </c>
      <c r="E30" s="27">
        <v>17849.080000000002</v>
      </c>
      <c r="G30" s="90">
        <v>43538.559999999998</v>
      </c>
      <c r="H30" s="90">
        <v>43431.360000000001</v>
      </c>
      <c r="I30" s="91">
        <f>G30-H30</f>
        <v>107.19999999999709</v>
      </c>
      <c r="J30" s="17" t="s">
        <v>8</v>
      </c>
      <c r="M30" s="5" t="s">
        <v>35</v>
      </c>
      <c r="N30" s="5" t="s">
        <v>279</v>
      </c>
    </row>
    <row r="31" spans="1:19" s="5" customFormat="1" x14ac:dyDescent="0.3">
      <c r="A31" s="85">
        <v>9300</v>
      </c>
      <c r="B31" s="5" t="s">
        <v>204</v>
      </c>
      <c r="C31" s="5" t="s">
        <v>96</v>
      </c>
      <c r="D31" s="5" t="s">
        <v>28</v>
      </c>
      <c r="E31" s="27">
        <v>46125</v>
      </c>
      <c r="G31" s="90">
        <v>11806.05</v>
      </c>
      <c r="H31" s="90">
        <v>2184.2600000000002</v>
      </c>
      <c r="I31" s="91">
        <f>G31-H31</f>
        <v>9621.7899999999991</v>
      </c>
      <c r="J31" s="17" t="s">
        <v>8</v>
      </c>
      <c r="M31" s="5" t="s">
        <v>35</v>
      </c>
      <c r="N31" s="5" t="s">
        <v>279</v>
      </c>
    </row>
    <row r="32" spans="1:19" s="5" customFormat="1" x14ac:dyDescent="0.3">
      <c r="A32" s="3">
        <v>9852</v>
      </c>
      <c r="B32" s="5" t="s">
        <v>204</v>
      </c>
      <c r="C32" s="5" t="s">
        <v>266</v>
      </c>
      <c r="D32" s="5" t="s">
        <v>7</v>
      </c>
      <c r="E32" s="27">
        <v>46209</v>
      </c>
      <c r="F32" s="87"/>
      <c r="G32" s="90">
        <v>6456.13</v>
      </c>
      <c r="H32" s="90">
        <v>0</v>
      </c>
      <c r="I32" s="90">
        <f t="shared" ref="I32" si="4">G32-H32</f>
        <v>6456.13</v>
      </c>
      <c r="J32" s="5" t="s">
        <v>26</v>
      </c>
      <c r="K32" s="13"/>
      <c r="M32" s="5" t="s">
        <v>35</v>
      </c>
      <c r="N32" s="5" t="s">
        <v>231</v>
      </c>
      <c r="O32" s="13"/>
      <c r="P32" s="13"/>
      <c r="Q32" s="13"/>
      <c r="R32" s="13"/>
      <c r="S32" s="13"/>
    </row>
    <row r="33" spans="1:19" s="5" customFormat="1" x14ac:dyDescent="0.3">
      <c r="A33" s="3">
        <v>8780</v>
      </c>
      <c r="B33" s="5" t="s">
        <v>204</v>
      </c>
      <c r="C33" s="5" t="s">
        <v>96</v>
      </c>
      <c r="D33" s="5" t="s">
        <v>7</v>
      </c>
      <c r="E33" s="27">
        <v>46037</v>
      </c>
      <c r="G33" s="90">
        <v>1323.73</v>
      </c>
      <c r="H33" s="90">
        <v>0</v>
      </c>
      <c r="I33" s="90">
        <f t="shared" ref="I33:I36" si="5">G33-H33</f>
        <v>1323.73</v>
      </c>
      <c r="J33" s="5" t="s">
        <v>26</v>
      </c>
      <c r="K33" s="13"/>
      <c r="M33" s="5" t="s">
        <v>35</v>
      </c>
      <c r="N33" s="5" t="s">
        <v>281</v>
      </c>
      <c r="O33" s="13"/>
      <c r="P33" s="13"/>
      <c r="Q33" s="13"/>
      <c r="R33" s="13"/>
      <c r="S33" s="13"/>
    </row>
    <row r="34" spans="1:19" x14ac:dyDescent="0.3">
      <c r="A34" s="11">
        <v>9851</v>
      </c>
      <c r="B34" s="5" t="s">
        <v>204</v>
      </c>
      <c r="C34" s="5" t="s">
        <v>266</v>
      </c>
      <c r="D34" s="13" t="s">
        <v>7</v>
      </c>
      <c r="E34" s="51">
        <v>46209</v>
      </c>
      <c r="G34" s="93">
        <v>32965.31</v>
      </c>
      <c r="H34" s="93">
        <v>15823.35</v>
      </c>
      <c r="I34" s="93">
        <f t="shared" si="5"/>
        <v>17141.96</v>
      </c>
      <c r="J34" s="13" t="s">
        <v>8</v>
      </c>
      <c r="M34" s="13" t="s">
        <v>35</v>
      </c>
      <c r="N34" s="13" t="s">
        <v>231</v>
      </c>
    </row>
    <row r="35" spans="1:19" x14ac:dyDescent="0.3">
      <c r="A35" s="11">
        <v>9961</v>
      </c>
      <c r="B35" s="5" t="s">
        <v>204</v>
      </c>
      <c r="C35" s="5" t="s">
        <v>266</v>
      </c>
      <c r="D35" s="13" t="s">
        <v>7</v>
      </c>
      <c r="E35" s="51">
        <v>46225</v>
      </c>
      <c r="G35" s="93">
        <v>7014.24</v>
      </c>
      <c r="H35" s="93">
        <v>3366.84</v>
      </c>
      <c r="I35" s="93">
        <f t="shared" si="5"/>
        <v>3647.3999999999996</v>
      </c>
      <c r="J35" s="13" t="s">
        <v>8</v>
      </c>
      <c r="M35" s="13" t="s">
        <v>35</v>
      </c>
      <c r="N35" s="13" t="s">
        <v>231</v>
      </c>
    </row>
    <row r="36" spans="1:19" x14ac:dyDescent="0.3">
      <c r="A36" s="11">
        <v>9852</v>
      </c>
      <c r="B36" s="5" t="s">
        <v>204</v>
      </c>
      <c r="C36" s="5" t="s">
        <v>266</v>
      </c>
      <c r="D36" s="13" t="s">
        <v>7</v>
      </c>
      <c r="E36" s="51">
        <v>46209</v>
      </c>
      <c r="G36" s="93">
        <v>6456.13</v>
      </c>
      <c r="H36" s="93">
        <v>3873.26</v>
      </c>
      <c r="I36" s="93">
        <f t="shared" si="5"/>
        <v>2582.87</v>
      </c>
      <c r="J36" s="13" t="s">
        <v>26</v>
      </c>
      <c r="M36" s="13" t="s">
        <v>35</v>
      </c>
      <c r="N36" s="13" t="s">
        <v>231</v>
      </c>
    </row>
  </sheetData>
  <autoFilter ref="A1:Q36" xr:uid="{F8AD7BD0-E81C-4509-8535-63CA05A7B48E}">
    <sortState xmlns:xlrd2="http://schemas.microsoft.com/office/spreadsheetml/2017/richdata2" ref="A2:Q31">
      <sortCondition ref="A1:A31"/>
    </sortState>
  </autoFilter>
  <conditionalFormatting sqref="A1 A24:A31 A10:A16 A18:A22 A4">
    <cfRule type="duplicateValues" dxfId="64" priority="8228"/>
  </conditionalFormatting>
  <conditionalFormatting sqref="A8 A33:A1048576 A1 A10:A31 A4">
    <cfRule type="duplicateValues" dxfId="63" priority="8207"/>
  </conditionalFormatting>
  <conditionalFormatting sqref="F2:F22">
    <cfRule type="cellIs" dxfId="62" priority="8" operator="between">
      <formula>15</formula>
      <formula>2000</formula>
    </cfRule>
    <cfRule type="cellIs" dxfId="61" priority="9" operator="between">
      <formula>6</formula>
      <formula>15</formula>
    </cfRule>
    <cfRule type="cellIs" dxfId="60" priority="10" operator="between">
      <formula>0</formula>
      <formula>5</formula>
    </cfRule>
  </conditionalFormatting>
  <conditionalFormatting sqref="F23:F31 F33:F1048576">
    <cfRule type="cellIs" dxfId="59" priority="20" operator="between">
      <formula>15</formula>
      <formula>2000</formula>
    </cfRule>
    <cfRule type="cellIs" dxfId="58" priority="21" operator="between">
      <formula>6</formula>
      <formula>15</formula>
    </cfRule>
    <cfRule type="cellIs" dxfId="57" priority="22" operator="between">
      <formula>0</formula>
      <formula>5</formula>
    </cfRule>
  </conditionalFormatting>
  <conditionalFormatting sqref="K2">
    <cfRule type="containsText" dxfId="56" priority="6" operator="containsText" text="PENDIENTE">
      <formula>NOT(ISERROR(SEARCH("PENDIENTE",K2)))</formula>
    </cfRule>
    <cfRule type="containsText" dxfId="55" priority="7" operator="containsText" text="ENTREGADO">
      <formula>NOT(ISERROR(SEARCH("ENTREGADO",K2)))</formula>
    </cfRule>
  </conditionalFormatting>
  <conditionalFormatting sqref="L2">
    <cfRule type="containsText" dxfId="54" priority="1" operator="containsText" text="AJUSTE">
      <formula>NOT(ISERROR(SEARCH("AJUSTE",L2)))</formula>
    </cfRule>
    <cfRule type="containsText" dxfId="53" priority="2" operator="containsText" text="TEMA CLIENTE">
      <formula>NOT(ISERROR(SEARCH("TEMA CLIENTE",L2)))</formula>
    </cfRule>
    <cfRule type="containsText" dxfId="52" priority="3" operator="containsText" text="TRÁNSITO">
      <formula>NOT(ISERROR(SEARCH("TRÁNSITO",L2)))</formula>
    </cfRule>
    <cfRule type="containsText" dxfId="51" priority="4" operator="containsText" text="POR COBRAR">
      <formula>NOT(ISERROR(SEARCH("POR COBRAR",L2)))</formula>
    </cfRule>
    <cfRule type="containsText" dxfId="50" priority="5" operator="containsText" text="COBRABLE">
      <formula>NOT(ISERROR(SEARCH("COBRABLE",L2)))</formula>
    </cfRule>
  </conditionalFormatting>
  <conditionalFormatting sqref="L3:L31 L33:L1048576">
    <cfRule type="containsText" dxfId="49" priority="28" operator="containsText" text="PENDIENTE">
      <formula>NOT(ISERROR(SEARCH("PENDIENTE",L3)))</formula>
    </cfRule>
    <cfRule type="containsText" dxfId="48" priority="29" operator="containsText" text="ENTREGADO">
      <formula>NOT(ISERROR(SEARCH("ENTREGADO",L3)))</formula>
    </cfRule>
  </conditionalFormatting>
  <conditionalFormatting sqref="M3:M1048576">
    <cfRule type="containsText" dxfId="47" priority="23" operator="containsText" text="AJUSTE">
      <formula>NOT(ISERROR(SEARCH("AJUSTE",M3)))</formula>
    </cfRule>
    <cfRule type="containsText" dxfId="46" priority="24" operator="containsText" text="TEMA CLIENTE">
      <formula>NOT(ISERROR(SEARCH("TEMA CLIENTE",M3)))</formula>
    </cfRule>
    <cfRule type="containsText" dxfId="45" priority="25" operator="containsText" text="TRÁNSITO">
      <formula>NOT(ISERROR(SEARCH("TRÁNSITO",M3)))</formula>
    </cfRule>
    <cfRule type="containsText" dxfId="44" priority="26" operator="containsText" text="POR COBRAR">
      <formula>NOT(ISERROR(SEARCH("POR COBRAR",M3)))</formula>
    </cfRule>
    <cfRule type="containsText" dxfId="43" priority="27" operator="containsText" text="COBRABLE">
      <formula>NOT(ISERROR(SEARCH("COBRABLE",M3)))</formula>
    </cfRule>
  </conditionalFormatting>
  <hyperlinks>
    <hyperlink ref="C11" r:id="rId1" display="https://sistema.cacheinteriores.com/projects/db672f8c-3276-43db-bee9-1ad91d3cb188" xr:uid="{6CF204ED-9231-4CB2-9547-B3740FA23416}"/>
    <hyperlink ref="Q19" r:id="rId2" xr:uid="{8B3526C2-5502-466D-99EB-30909EE5CB34}"/>
    <hyperlink ref="Q20" r:id="rId3" xr:uid="{2E342486-9F67-4A2F-9246-55A410AA23E8}"/>
    <hyperlink ref="Q29" r:id="rId4" xr:uid="{BAC999AF-EF45-4B06-A95F-6F027FE36450}"/>
    <hyperlink ref="Q28" r:id="rId5" xr:uid="{C5457B02-E6FA-4B24-B518-7C7711FD00BF}"/>
    <hyperlink ref="Q27" r:id="rId6" xr:uid="{7BB341A7-E857-4517-AEA9-9FDED57E8918}"/>
  </hyperlinks>
  <pageMargins left="0.7" right="0.7" top="0.75" bottom="0.75" header="0.3" footer="0.3"/>
  <pageSetup paperSize="9" orientation="portrait" horizontalDpi="4294967295" verticalDpi="4294967295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31"/>
  <sheetViews>
    <sheetView showGridLines="0" zoomScale="69" zoomScaleNormal="90" workbookViewId="0">
      <pane ySplit="1" topLeftCell="A2" activePane="bottomLeft" state="frozen"/>
      <selection activeCell="B62" sqref="B62"/>
      <selection pane="bottomLeft" activeCell="B31" sqref="B31"/>
    </sheetView>
  </sheetViews>
  <sheetFormatPr baseColWidth="10" defaultColWidth="9.109375" defaultRowHeight="14.4" x14ac:dyDescent="0.3"/>
  <cols>
    <col min="1" max="1" width="8.5546875" style="11" customWidth="1"/>
    <col min="2" max="2" width="49.33203125" style="12" bestFit="1" customWidth="1"/>
    <col min="3" max="3" width="37.5546875" style="12" customWidth="1"/>
    <col min="4" max="4" width="9.109375" style="13"/>
    <col min="5" max="5" width="11.5546875" style="12" bestFit="1" customWidth="1"/>
    <col min="6" max="6" width="11.109375" style="13" hidden="1" customWidth="1"/>
    <col min="7" max="9" width="15.5546875" style="14" bestFit="1" customWidth="1"/>
    <col min="10" max="10" width="10.6640625" style="13" customWidth="1"/>
    <col min="11" max="11" width="28.88671875" style="12" hidden="1" customWidth="1"/>
    <col min="12" max="12" width="13.88671875" style="13" hidden="1" customWidth="1"/>
    <col min="13" max="13" width="15" style="76" customWidth="1"/>
    <col min="14" max="14" width="86.6640625" style="12" bestFit="1" customWidth="1"/>
    <col min="15" max="15" width="34.44140625" style="12" hidden="1" customWidth="1"/>
    <col min="16" max="16" width="25.6640625" style="13" hidden="1" customWidth="1"/>
    <col min="17" max="17" width="26.44140625" style="12" hidden="1" customWidth="1"/>
    <col min="18" max="18" width="0" style="12" hidden="1" customWidth="1"/>
    <col min="19" max="16384" width="9.109375" style="12"/>
  </cols>
  <sheetData>
    <row r="1" spans="1:17" s="20" customFormat="1" ht="33.75" customHeight="1" thickBot="1" x14ac:dyDescent="0.35">
      <c r="A1" s="21" t="s">
        <v>4</v>
      </c>
      <c r="B1" s="21" t="s">
        <v>2</v>
      </c>
      <c r="C1" s="21" t="s">
        <v>3</v>
      </c>
      <c r="D1" s="22" t="s">
        <v>0</v>
      </c>
      <c r="E1" s="22" t="s">
        <v>5</v>
      </c>
      <c r="F1" s="22" t="s">
        <v>6</v>
      </c>
      <c r="G1" s="58" t="s">
        <v>9</v>
      </c>
      <c r="H1" s="58" t="s">
        <v>10</v>
      </c>
      <c r="I1" s="58" t="s">
        <v>11</v>
      </c>
      <c r="J1" s="21" t="s">
        <v>12</v>
      </c>
      <c r="K1" s="22" t="s">
        <v>13</v>
      </c>
      <c r="L1" s="22" t="s">
        <v>18</v>
      </c>
      <c r="M1" s="21" t="s">
        <v>16</v>
      </c>
      <c r="N1" s="21" t="s">
        <v>17</v>
      </c>
      <c r="O1" s="22" t="s">
        <v>23</v>
      </c>
      <c r="P1" s="22" t="s">
        <v>24</v>
      </c>
      <c r="Q1" s="22" t="s">
        <v>25</v>
      </c>
    </row>
    <row r="2" spans="1:17" x14ac:dyDescent="0.3">
      <c r="A2" s="11">
        <v>7863</v>
      </c>
      <c r="B2" s="80" t="s">
        <v>232</v>
      </c>
      <c r="C2" s="81" t="s">
        <v>218</v>
      </c>
      <c r="D2" s="13" t="s">
        <v>7</v>
      </c>
      <c r="E2" s="51">
        <v>45884</v>
      </c>
      <c r="F2" s="5"/>
      <c r="G2" s="59">
        <v>435485.81</v>
      </c>
      <c r="H2" s="59">
        <v>391937.21</v>
      </c>
      <c r="I2" s="59">
        <f t="shared" ref="I2:I3" si="0">G2-H2</f>
        <v>43548.599999999977</v>
      </c>
      <c r="J2" s="13" t="s">
        <v>8</v>
      </c>
      <c r="L2" s="5"/>
      <c r="M2" s="76" t="s">
        <v>21</v>
      </c>
      <c r="N2" s="12" t="s">
        <v>249</v>
      </c>
    </row>
    <row r="3" spans="1:17" x14ac:dyDescent="0.3">
      <c r="A3" s="82">
        <v>9240</v>
      </c>
      <c r="B3" s="83" t="s">
        <v>217</v>
      </c>
      <c r="C3" s="81" t="s">
        <v>219</v>
      </c>
      <c r="D3" s="13" t="s">
        <v>7</v>
      </c>
      <c r="E3" s="84">
        <v>46111</v>
      </c>
      <c r="G3" s="74">
        <v>38736.97</v>
      </c>
      <c r="H3" s="74">
        <v>9684.24</v>
      </c>
      <c r="I3" s="74">
        <f t="shared" si="0"/>
        <v>29052.730000000003</v>
      </c>
      <c r="J3" s="13" t="s">
        <v>26</v>
      </c>
      <c r="M3" s="76" t="s">
        <v>21</v>
      </c>
      <c r="N3" s="12" t="s">
        <v>264</v>
      </c>
      <c r="O3" s="12" t="s">
        <v>27</v>
      </c>
    </row>
    <row r="4" spans="1:17" x14ac:dyDescent="0.3">
      <c r="A4" s="82">
        <v>9025</v>
      </c>
      <c r="B4" s="83" t="s">
        <v>217</v>
      </c>
      <c r="C4" s="81" t="s">
        <v>219</v>
      </c>
      <c r="D4" s="13" t="s">
        <v>7</v>
      </c>
      <c r="G4" s="59">
        <v>22863.79</v>
      </c>
      <c r="H4" s="59">
        <v>5712.62</v>
      </c>
      <c r="I4" s="59">
        <f>G4-H4</f>
        <v>17151.170000000002</v>
      </c>
      <c r="J4" s="13" t="s">
        <v>26</v>
      </c>
      <c r="M4" s="76" t="s">
        <v>21</v>
      </c>
      <c r="N4" s="12" t="s">
        <v>264</v>
      </c>
      <c r="O4" s="12" t="s">
        <v>27</v>
      </c>
    </row>
    <row r="5" spans="1:17" x14ac:dyDescent="0.3">
      <c r="A5" s="11">
        <v>8907</v>
      </c>
      <c r="B5" s="83" t="s">
        <v>217</v>
      </c>
      <c r="C5" s="81" t="s">
        <v>219</v>
      </c>
      <c r="D5" s="13" t="s">
        <v>28</v>
      </c>
      <c r="G5" s="59">
        <v>1511.87</v>
      </c>
      <c r="H5" s="59">
        <v>377.97</v>
      </c>
      <c r="I5" s="59">
        <f>G5-H5</f>
        <v>1133.8999999999999</v>
      </c>
      <c r="J5" s="13" t="s">
        <v>26</v>
      </c>
      <c r="M5" s="76" t="s">
        <v>21</v>
      </c>
      <c r="N5" s="12" t="s">
        <v>264</v>
      </c>
      <c r="O5" s="12" t="s">
        <v>27</v>
      </c>
    </row>
    <row r="6" spans="1:17" x14ac:dyDescent="0.3">
      <c r="A6" s="11">
        <v>8728</v>
      </c>
      <c r="B6" s="83" t="s">
        <v>217</v>
      </c>
      <c r="C6" s="81" t="s">
        <v>219</v>
      </c>
      <c r="D6" s="13" t="s">
        <v>7</v>
      </c>
      <c r="E6" s="51" t="s">
        <v>196</v>
      </c>
      <c r="F6" s="5">
        <v>0</v>
      </c>
      <c r="G6" s="59">
        <v>4982.1899999999996</v>
      </c>
      <c r="H6" s="59">
        <v>0</v>
      </c>
      <c r="I6" s="59">
        <f t="shared" ref="I6" si="1">G6-H6</f>
        <v>4982.1899999999996</v>
      </c>
      <c r="J6" s="13" t="s">
        <v>26</v>
      </c>
      <c r="K6" s="12" t="s">
        <v>112</v>
      </c>
      <c r="L6" s="5" t="s">
        <v>20</v>
      </c>
      <c r="M6" s="76" t="s">
        <v>21</v>
      </c>
      <c r="N6" s="12" t="s">
        <v>255</v>
      </c>
      <c r="O6" s="12" t="s">
        <v>27</v>
      </c>
    </row>
    <row r="7" spans="1:17" x14ac:dyDescent="0.3">
      <c r="A7" s="82">
        <v>10011</v>
      </c>
      <c r="B7" s="83" t="s">
        <v>217</v>
      </c>
      <c r="C7" s="81" t="s">
        <v>219</v>
      </c>
      <c r="D7" s="13" t="s">
        <v>7</v>
      </c>
      <c r="E7" s="51">
        <v>46233</v>
      </c>
      <c r="F7" s="5"/>
      <c r="G7" s="59">
        <v>6207.1</v>
      </c>
      <c r="H7" s="59">
        <v>0</v>
      </c>
      <c r="I7" s="59">
        <f>G7-H7</f>
        <v>6207.1</v>
      </c>
      <c r="J7" s="13" t="s">
        <v>26</v>
      </c>
      <c r="L7" s="5"/>
      <c r="M7" s="76" t="s">
        <v>35</v>
      </c>
      <c r="N7" s="12" t="s">
        <v>274</v>
      </c>
    </row>
    <row r="8" spans="1:17" x14ac:dyDescent="0.3">
      <c r="A8" s="11">
        <v>7865</v>
      </c>
      <c r="B8" s="81" t="s">
        <v>215</v>
      </c>
      <c r="C8" s="81" t="s">
        <v>218</v>
      </c>
      <c r="D8" s="13" t="s">
        <v>28</v>
      </c>
      <c r="E8" s="51">
        <v>45884</v>
      </c>
      <c r="F8" s="5">
        <v>0</v>
      </c>
      <c r="G8" s="59">
        <v>166322.1</v>
      </c>
      <c r="H8" s="59">
        <v>149689.9</v>
      </c>
      <c r="I8" s="59">
        <f>G8-H8</f>
        <v>16632.200000000012</v>
      </c>
      <c r="J8" s="13" t="s">
        <v>8</v>
      </c>
      <c r="K8" s="12" t="s">
        <v>192</v>
      </c>
      <c r="L8" s="5" t="s">
        <v>20</v>
      </c>
      <c r="M8" s="76" t="s">
        <v>35</v>
      </c>
      <c r="N8" s="12" t="s">
        <v>249</v>
      </c>
    </row>
    <row r="9" spans="1:17" x14ac:dyDescent="0.3">
      <c r="A9" s="11">
        <v>6858</v>
      </c>
      <c r="B9" s="81" t="s">
        <v>216</v>
      </c>
      <c r="C9" s="81" t="s">
        <v>220</v>
      </c>
      <c r="D9" s="13" t="s">
        <v>28</v>
      </c>
      <c r="E9" s="51">
        <v>45740</v>
      </c>
      <c r="F9" s="5">
        <v>0</v>
      </c>
      <c r="G9" s="59">
        <v>23626.59</v>
      </c>
      <c r="H9" s="59">
        <v>16435.34</v>
      </c>
      <c r="I9" s="59">
        <f t="shared" ref="I9:I18" si="2">G9-H9</f>
        <v>7191.25</v>
      </c>
      <c r="J9" s="13" t="s">
        <v>8</v>
      </c>
      <c r="K9" s="12" t="s">
        <v>30</v>
      </c>
      <c r="L9" s="5" t="s">
        <v>20</v>
      </c>
      <c r="M9" s="76" t="s">
        <v>35</v>
      </c>
      <c r="N9" s="12" t="s">
        <v>254</v>
      </c>
      <c r="O9" s="12" t="s">
        <v>32</v>
      </c>
      <c r="P9" s="13">
        <v>8112447840</v>
      </c>
      <c r="Q9" s="12" t="s">
        <v>33</v>
      </c>
    </row>
    <row r="10" spans="1:17" x14ac:dyDescent="0.3">
      <c r="A10" s="82">
        <v>10308</v>
      </c>
      <c r="B10" s="81" t="s">
        <v>275</v>
      </c>
      <c r="C10" s="81" t="s">
        <v>276</v>
      </c>
      <c r="D10" s="13" t="s">
        <v>7</v>
      </c>
      <c r="E10" s="51">
        <v>46269</v>
      </c>
      <c r="F10" s="5"/>
      <c r="G10" s="59">
        <v>98807.72</v>
      </c>
      <c r="H10" s="59">
        <v>69165.41</v>
      </c>
      <c r="I10" s="59">
        <f t="shared" si="2"/>
        <v>29642.309999999998</v>
      </c>
      <c r="J10" s="13" t="s">
        <v>8</v>
      </c>
      <c r="L10" s="5"/>
      <c r="M10" s="76" t="s">
        <v>35</v>
      </c>
      <c r="N10" s="12" t="s">
        <v>277</v>
      </c>
    </row>
    <row r="11" spans="1:17" x14ac:dyDescent="0.3">
      <c r="A11" s="82">
        <v>10311</v>
      </c>
      <c r="B11" s="81" t="s">
        <v>275</v>
      </c>
      <c r="C11" s="81" t="s">
        <v>276</v>
      </c>
      <c r="D11" s="13" t="s">
        <v>7</v>
      </c>
      <c r="E11" s="51">
        <v>46269</v>
      </c>
      <c r="F11" s="5"/>
      <c r="G11" s="59">
        <v>104610.29</v>
      </c>
      <c r="H11" s="59">
        <v>73227.199999999997</v>
      </c>
      <c r="I11" s="59">
        <f t="shared" si="2"/>
        <v>31383.089999999997</v>
      </c>
      <c r="J11" s="13" t="s">
        <v>8</v>
      </c>
      <c r="L11" s="5"/>
      <c r="M11" s="76" t="s">
        <v>35</v>
      </c>
      <c r="N11" s="12" t="s">
        <v>277</v>
      </c>
    </row>
    <row r="12" spans="1:17" x14ac:dyDescent="0.3">
      <c r="A12" s="82">
        <v>10310</v>
      </c>
      <c r="B12" s="81" t="s">
        <v>275</v>
      </c>
      <c r="C12" s="81" t="s">
        <v>276</v>
      </c>
      <c r="D12" s="13" t="s">
        <v>28</v>
      </c>
      <c r="E12" s="51">
        <v>46269</v>
      </c>
      <c r="F12" s="5"/>
      <c r="G12" s="59">
        <v>48118.09</v>
      </c>
      <c r="H12" s="59">
        <v>33682.660000000003</v>
      </c>
      <c r="I12" s="59">
        <f t="shared" si="2"/>
        <v>14435.429999999993</v>
      </c>
      <c r="J12" s="13" t="s">
        <v>8</v>
      </c>
      <c r="L12" s="5"/>
      <c r="M12" s="76" t="s">
        <v>35</v>
      </c>
      <c r="N12" s="12" t="s">
        <v>278</v>
      </c>
    </row>
    <row r="13" spans="1:17" x14ac:dyDescent="0.3">
      <c r="A13" s="82">
        <v>10312</v>
      </c>
      <c r="B13" s="81" t="s">
        <v>275</v>
      </c>
      <c r="C13" s="81" t="s">
        <v>276</v>
      </c>
      <c r="D13" s="13" t="s">
        <v>28</v>
      </c>
      <c r="E13" s="51">
        <v>46269</v>
      </c>
      <c r="F13" s="5"/>
      <c r="G13" s="59">
        <v>13514.88</v>
      </c>
      <c r="H13" s="59">
        <v>9460.41</v>
      </c>
      <c r="I13" s="59">
        <f t="shared" si="2"/>
        <v>4054.4699999999993</v>
      </c>
      <c r="J13" s="13" t="s">
        <v>8</v>
      </c>
      <c r="L13" s="5"/>
      <c r="M13" s="76" t="s">
        <v>35</v>
      </c>
      <c r="N13" s="12" t="s">
        <v>278</v>
      </c>
    </row>
    <row r="14" spans="1:17" x14ac:dyDescent="0.3">
      <c r="A14" s="82">
        <v>10309</v>
      </c>
      <c r="B14" s="81" t="s">
        <v>275</v>
      </c>
      <c r="C14" s="81" t="s">
        <v>276</v>
      </c>
      <c r="D14" s="13" t="s">
        <v>7</v>
      </c>
      <c r="E14" s="51">
        <v>46269</v>
      </c>
      <c r="F14" s="5"/>
      <c r="G14" s="59">
        <v>4245.01</v>
      </c>
      <c r="H14" s="59">
        <v>2971.51</v>
      </c>
      <c r="I14" s="59">
        <f t="shared" si="2"/>
        <v>1273.5</v>
      </c>
      <c r="J14" s="13" t="s">
        <v>8</v>
      </c>
      <c r="L14" s="5"/>
      <c r="M14" s="76" t="s">
        <v>35</v>
      </c>
      <c r="N14" s="12" t="s">
        <v>231</v>
      </c>
    </row>
    <row r="15" spans="1:17" x14ac:dyDescent="0.3">
      <c r="A15" s="82">
        <v>9974</v>
      </c>
      <c r="B15" s="83" t="s">
        <v>217</v>
      </c>
      <c r="C15" s="81" t="s">
        <v>219</v>
      </c>
      <c r="D15" s="13" t="s">
        <v>7</v>
      </c>
      <c r="E15" s="51">
        <v>46233</v>
      </c>
      <c r="F15" s="5"/>
      <c r="G15" s="74">
        <v>11937.75</v>
      </c>
      <c r="H15" s="74">
        <v>8953.2999999999993</v>
      </c>
      <c r="I15" s="74">
        <f t="shared" si="2"/>
        <v>2984.4500000000007</v>
      </c>
      <c r="J15" s="13" t="s">
        <v>26</v>
      </c>
      <c r="L15" s="5"/>
      <c r="M15" s="76" t="s">
        <v>35</v>
      </c>
      <c r="N15" s="12" t="s">
        <v>270</v>
      </c>
    </row>
    <row r="16" spans="1:17" x14ac:dyDescent="0.3">
      <c r="A16" s="82">
        <v>10158</v>
      </c>
      <c r="B16" s="83" t="s">
        <v>217</v>
      </c>
      <c r="C16" s="81" t="s">
        <v>219</v>
      </c>
      <c r="D16" s="13" t="s">
        <v>7</v>
      </c>
      <c r="E16" s="51">
        <v>46252</v>
      </c>
      <c r="F16" s="5"/>
      <c r="G16" s="74">
        <v>16232.57</v>
      </c>
      <c r="H16" s="74">
        <v>0</v>
      </c>
      <c r="I16" s="74">
        <f t="shared" si="2"/>
        <v>16232.57</v>
      </c>
      <c r="J16" s="13" t="s">
        <v>26</v>
      </c>
      <c r="L16" s="5"/>
      <c r="M16" s="76" t="s">
        <v>35</v>
      </c>
      <c r="N16" s="12" t="s">
        <v>269</v>
      </c>
    </row>
    <row r="17" spans="1:17" x14ac:dyDescent="0.3">
      <c r="A17" s="82">
        <v>9972</v>
      </c>
      <c r="B17" s="83" t="s">
        <v>217</v>
      </c>
      <c r="C17" s="81" t="s">
        <v>219</v>
      </c>
      <c r="D17" s="13" t="s">
        <v>28</v>
      </c>
      <c r="E17" s="84">
        <v>46227</v>
      </c>
      <c r="G17" s="74">
        <v>1645.81</v>
      </c>
      <c r="H17" s="74">
        <v>1183.3</v>
      </c>
      <c r="I17" s="74">
        <f t="shared" si="2"/>
        <v>462.51</v>
      </c>
      <c r="J17" s="13" t="s">
        <v>26</v>
      </c>
      <c r="M17" s="76" t="s">
        <v>35</v>
      </c>
      <c r="N17" s="12" t="s">
        <v>270</v>
      </c>
    </row>
    <row r="18" spans="1:17" x14ac:dyDescent="0.3">
      <c r="A18" s="82">
        <v>9973</v>
      </c>
      <c r="B18" s="83" t="s">
        <v>217</v>
      </c>
      <c r="C18" s="81" t="s">
        <v>219</v>
      </c>
      <c r="D18" s="13" t="s">
        <v>28</v>
      </c>
      <c r="E18" s="84">
        <v>46227</v>
      </c>
      <c r="G18" s="74">
        <v>9078.15</v>
      </c>
      <c r="H18" s="74">
        <v>6445.4</v>
      </c>
      <c r="I18" s="74">
        <f t="shared" si="2"/>
        <v>2632.75</v>
      </c>
      <c r="J18" s="13" t="s">
        <v>26</v>
      </c>
      <c r="M18" s="76" t="s">
        <v>35</v>
      </c>
      <c r="N18" s="12" t="s">
        <v>270</v>
      </c>
    </row>
    <row r="19" spans="1:17" x14ac:dyDescent="0.3">
      <c r="A19" s="11">
        <v>9659</v>
      </c>
      <c r="B19" s="83" t="s">
        <v>217</v>
      </c>
      <c r="C19" s="81" t="s">
        <v>219</v>
      </c>
      <c r="D19" s="13" t="s">
        <v>28</v>
      </c>
      <c r="E19" s="51">
        <v>46178</v>
      </c>
      <c r="F19" s="5"/>
      <c r="G19" s="59">
        <v>1329</v>
      </c>
      <c r="H19" s="59">
        <v>1063.2</v>
      </c>
      <c r="I19" s="59">
        <f>G19-H19</f>
        <v>265.79999999999995</v>
      </c>
      <c r="J19" s="13" t="s">
        <v>26</v>
      </c>
      <c r="L19" s="5"/>
      <c r="M19" s="76" t="s">
        <v>35</v>
      </c>
      <c r="N19" s="12" t="s">
        <v>259</v>
      </c>
    </row>
    <row r="20" spans="1:17" x14ac:dyDescent="0.3">
      <c r="A20" s="11">
        <v>9622</v>
      </c>
      <c r="B20" s="83" t="s">
        <v>217</v>
      </c>
      <c r="C20" s="81" t="s">
        <v>219</v>
      </c>
      <c r="D20" s="13" t="s">
        <v>28</v>
      </c>
      <c r="E20" s="51">
        <v>46174</v>
      </c>
      <c r="F20" s="5"/>
      <c r="G20" s="59">
        <v>8033.73</v>
      </c>
      <c r="H20" s="59">
        <v>0</v>
      </c>
      <c r="I20" s="59">
        <f>G20-H20</f>
        <v>8033.73</v>
      </c>
      <c r="J20" s="13" t="s">
        <v>26</v>
      </c>
      <c r="L20" s="5"/>
      <c r="M20" s="76" t="s">
        <v>35</v>
      </c>
      <c r="N20" s="12" t="s">
        <v>260</v>
      </c>
    </row>
    <row r="21" spans="1:17" x14ac:dyDescent="0.3">
      <c r="A21" s="11">
        <v>9602</v>
      </c>
      <c r="B21" s="83" t="s">
        <v>217</v>
      </c>
      <c r="C21" s="81" t="s">
        <v>219</v>
      </c>
      <c r="D21" s="13" t="s">
        <v>28</v>
      </c>
      <c r="E21" s="51">
        <v>46169</v>
      </c>
      <c r="F21" s="5"/>
      <c r="G21" s="59">
        <v>2202.84</v>
      </c>
      <c r="H21" s="59">
        <v>0</v>
      </c>
      <c r="I21" s="59">
        <f>G21-H21</f>
        <v>2202.84</v>
      </c>
      <c r="J21" s="13" t="s">
        <v>26</v>
      </c>
      <c r="L21" s="5"/>
      <c r="M21" s="76" t="s">
        <v>35</v>
      </c>
      <c r="N21" s="12" t="s">
        <v>262</v>
      </c>
    </row>
    <row r="22" spans="1:17" x14ac:dyDescent="0.3">
      <c r="A22" s="11">
        <v>6952</v>
      </c>
      <c r="B22" s="83" t="s">
        <v>217</v>
      </c>
      <c r="C22" s="81" t="s">
        <v>219</v>
      </c>
      <c r="D22" s="13" t="s">
        <v>28</v>
      </c>
      <c r="E22" s="51">
        <v>45750</v>
      </c>
      <c r="F22" s="5">
        <v>0</v>
      </c>
      <c r="G22" s="59">
        <v>55700.75</v>
      </c>
      <c r="H22" s="59">
        <v>33419.01</v>
      </c>
      <c r="I22" s="59">
        <f t="shared" ref="I22" si="3">G22-H22</f>
        <v>22281.739999999998</v>
      </c>
      <c r="J22" s="13" t="s">
        <v>26</v>
      </c>
      <c r="K22" s="12" t="s">
        <v>36</v>
      </c>
      <c r="L22" s="5" t="s">
        <v>20</v>
      </c>
      <c r="M22" s="76" t="s">
        <v>35</v>
      </c>
      <c r="N22" s="12" t="s">
        <v>249</v>
      </c>
      <c r="O22" s="12" t="s">
        <v>27</v>
      </c>
      <c r="P22" s="13">
        <v>5579721613</v>
      </c>
      <c r="Q22" s="12" t="s">
        <v>37</v>
      </c>
    </row>
    <row r="23" spans="1:17" ht="13.8" customHeight="1" x14ac:dyDescent="0.3">
      <c r="A23" s="11">
        <v>9534</v>
      </c>
      <c r="B23" s="83" t="s">
        <v>217</v>
      </c>
      <c r="C23" s="81" t="s">
        <v>219</v>
      </c>
      <c r="D23" s="13" t="s">
        <v>28</v>
      </c>
      <c r="E23" s="51">
        <v>46157</v>
      </c>
      <c r="F23" s="5"/>
      <c r="G23" s="59">
        <v>47261.45</v>
      </c>
      <c r="H23" s="59">
        <v>0</v>
      </c>
      <c r="I23" s="59">
        <f>G23-H23</f>
        <v>47261.45</v>
      </c>
      <c r="J23" s="13" t="s">
        <v>26</v>
      </c>
      <c r="L23" s="5"/>
      <c r="M23" s="76" t="s">
        <v>35</v>
      </c>
      <c r="N23" s="12" t="s">
        <v>258</v>
      </c>
    </row>
    <row r="24" spans="1:17" ht="13.8" customHeight="1" x14ac:dyDescent="0.3">
      <c r="A24" s="11">
        <v>6943</v>
      </c>
      <c r="B24" s="83" t="s">
        <v>217</v>
      </c>
      <c r="C24" s="81" t="s">
        <v>219</v>
      </c>
      <c r="D24" s="13" t="s">
        <v>28</v>
      </c>
      <c r="E24" s="51">
        <v>45750</v>
      </c>
      <c r="F24" s="5">
        <v>0</v>
      </c>
      <c r="G24" s="59">
        <v>235754.6</v>
      </c>
      <c r="H24" s="59">
        <v>216532.68</v>
      </c>
      <c r="I24" s="59">
        <f>G24-H24</f>
        <v>19221.920000000013</v>
      </c>
      <c r="J24" s="13" t="s">
        <v>26</v>
      </c>
      <c r="K24" s="12" t="s">
        <v>36</v>
      </c>
      <c r="L24" s="5" t="s">
        <v>20</v>
      </c>
      <c r="M24" s="76" t="s">
        <v>35</v>
      </c>
      <c r="N24" s="12" t="s">
        <v>260</v>
      </c>
      <c r="O24" s="12" t="s">
        <v>27</v>
      </c>
      <c r="P24" s="13">
        <v>5579721613</v>
      </c>
      <c r="Q24" s="12" t="s">
        <v>37</v>
      </c>
    </row>
    <row r="25" spans="1:17" x14ac:dyDescent="0.3">
      <c r="A25" s="11">
        <v>9241</v>
      </c>
      <c r="B25" s="83" t="s">
        <v>217</v>
      </c>
      <c r="C25" s="81" t="s">
        <v>219</v>
      </c>
      <c r="D25" s="13" t="s">
        <v>28</v>
      </c>
      <c r="E25" s="51">
        <v>46111</v>
      </c>
      <c r="F25" s="5"/>
      <c r="G25" s="59">
        <v>33094.800000000003</v>
      </c>
      <c r="H25" s="59">
        <v>8273.7000000000007</v>
      </c>
      <c r="I25" s="59">
        <f>G25-H25</f>
        <v>24821.100000000002</v>
      </c>
      <c r="J25" s="13" t="s">
        <v>26</v>
      </c>
      <c r="L25" s="5"/>
      <c r="M25" s="76" t="s">
        <v>35</v>
      </c>
      <c r="N25" s="12" t="s">
        <v>263</v>
      </c>
    </row>
    <row r="26" spans="1:17" x14ac:dyDescent="0.3">
      <c r="A26" s="11">
        <v>9026</v>
      </c>
      <c r="B26" s="83" t="s">
        <v>217</v>
      </c>
      <c r="C26" s="81" t="s">
        <v>219</v>
      </c>
      <c r="D26" s="13" t="s">
        <v>28</v>
      </c>
      <c r="E26" s="51"/>
      <c r="F26" s="5"/>
      <c r="G26" s="59">
        <v>11020</v>
      </c>
      <c r="H26" s="59">
        <v>2755</v>
      </c>
      <c r="I26" s="59">
        <f>G26-H26</f>
        <v>8265</v>
      </c>
      <c r="J26" s="13" t="s">
        <v>26</v>
      </c>
      <c r="L26" s="5"/>
      <c r="M26" s="76" t="s">
        <v>35</v>
      </c>
      <c r="N26" s="12" t="s">
        <v>256</v>
      </c>
      <c r="O26" s="12" t="s">
        <v>27</v>
      </c>
    </row>
    <row r="27" spans="1:17" x14ac:dyDescent="0.3">
      <c r="A27" s="11">
        <v>8646</v>
      </c>
      <c r="B27" s="83" t="s">
        <v>217</v>
      </c>
      <c r="C27" s="81" t="s">
        <v>219</v>
      </c>
      <c r="D27" s="13" t="s">
        <v>28</v>
      </c>
      <c r="E27" s="51">
        <v>46003</v>
      </c>
      <c r="F27" s="5"/>
      <c r="G27" s="59">
        <v>37287.68</v>
      </c>
      <c r="H27" s="59">
        <v>29830.15</v>
      </c>
      <c r="I27" s="59">
        <f>G27-H27</f>
        <v>7457.5299999999988</v>
      </c>
      <c r="J27" s="13" t="s">
        <v>26</v>
      </c>
      <c r="K27" s="12" t="s">
        <v>36</v>
      </c>
      <c r="L27" s="5" t="s">
        <v>20</v>
      </c>
      <c r="M27" s="76" t="s">
        <v>35</v>
      </c>
      <c r="N27" s="12" t="s">
        <v>261</v>
      </c>
      <c r="O27" s="12" t="s">
        <v>27</v>
      </c>
    </row>
    <row r="31" spans="1:17" x14ac:dyDescent="0.3">
      <c r="B31" s="12" t="s">
        <v>284</v>
      </c>
    </row>
  </sheetData>
  <autoFilter ref="A1:Q27" xr:uid="{00000000-0001-0000-0000-000000000000}"/>
  <conditionalFormatting sqref="A1:A1048576">
    <cfRule type="duplicateValues" dxfId="42" priority="8038"/>
    <cfRule type="duplicateValues" dxfId="41" priority="8039"/>
  </conditionalFormatting>
  <conditionalFormatting sqref="A19:A27 A6:A16 A2">
    <cfRule type="duplicateValues" dxfId="40" priority="8077"/>
  </conditionalFormatting>
  <conditionalFormatting sqref="F2:F1048576">
    <cfRule type="cellIs" dxfId="39" priority="29" operator="between">
      <formula>15</formula>
      <formula>2000</formula>
    </cfRule>
    <cfRule type="cellIs" dxfId="38" priority="30" operator="between">
      <formula>6</formula>
      <formula>15</formula>
    </cfRule>
    <cfRule type="cellIs" dxfId="37" priority="31" operator="between">
      <formula>0</formula>
      <formula>5</formula>
    </cfRule>
  </conditionalFormatting>
  <conditionalFormatting sqref="L2:L1048576">
    <cfRule type="containsText" dxfId="36" priority="37" operator="containsText" text="PENDIENTE">
      <formula>NOT(ISERROR(SEARCH("PENDIENTE",L2)))</formula>
    </cfRule>
    <cfRule type="containsText" dxfId="35" priority="38" operator="containsText" text="ENTREGADO">
      <formula>NOT(ISERROR(SEARCH("ENTREGADO",L2)))</formula>
    </cfRule>
  </conditionalFormatting>
  <conditionalFormatting sqref="M2:M1048576">
    <cfRule type="containsText" dxfId="34" priority="32" operator="containsText" text="AJUSTE">
      <formula>NOT(ISERROR(SEARCH("AJUSTE",M2)))</formula>
    </cfRule>
    <cfRule type="containsText" dxfId="33" priority="33" operator="containsText" text="TEMA CLIENTE">
      <formula>NOT(ISERROR(SEARCH("TEMA CLIENTE",M2)))</formula>
    </cfRule>
    <cfRule type="containsText" dxfId="32" priority="34" operator="containsText" text="TRÁNSITO">
      <formula>NOT(ISERROR(SEARCH("TRÁNSITO",M2)))</formula>
    </cfRule>
    <cfRule type="containsText" dxfId="31" priority="35" operator="containsText" text="POR COBRAR">
      <formula>NOT(ISERROR(SEARCH("POR COBRAR",M2)))</formula>
    </cfRule>
    <cfRule type="containsText" dxfId="30" priority="36" operator="containsText" text="COBRABLE">
      <formula>NOT(ISERROR(SEARCH("COBRABLE",M2)))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E720-21A9-4548-8068-D00B951F9B0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154B-E04E-46A1-8D50-44A626C8FC81}">
  <dimension ref="A1:N34"/>
  <sheetViews>
    <sheetView zoomScale="67" zoomScaleNormal="100" workbookViewId="0">
      <selection activeCell="F26" sqref="F26"/>
    </sheetView>
  </sheetViews>
  <sheetFormatPr baseColWidth="10" defaultRowHeight="14.4" x14ac:dyDescent="0.3"/>
  <cols>
    <col min="4" max="4" width="19.5546875" bestFit="1" customWidth="1"/>
    <col min="5" max="5" width="34.6640625" customWidth="1"/>
    <col min="6" max="6" width="15.5546875" bestFit="1" customWidth="1"/>
    <col min="7" max="7" width="17" bestFit="1" customWidth="1"/>
    <col min="8" max="8" width="17.88671875" bestFit="1" customWidth="1"/>
    <col min="11" max="12" width="0" hidden="1" customWidth="1"/>
    <col min="13" max="13" width="27.44140625" hidden="1" customWidth="1"/>
    <col min="14" max="14" width="89.44140625" bestFit="1" customWidth="1"/>
  </cols>
  <sheetData>
    <row r="1" spans="1:14" ht="31.2" x14ac:dyDescent="0.3">
      <c r="A1" s="63" t="s">
        <v>1</v>
      </c>
      <c r="B1" s="65" t="s">
        <v>233</v>
      </c>
      <c r="C1" s="66" t="s">
        <v>234</v>
      </c>
      <c r="D1" s="65" t="s">
        <v>2</v>
      </c>
      <c r="E1" s="65" t="s">
        <v>3</v>
      </c>
      <c r="F1" s="67" t="s">
        <v>9</v>
      </c>
      <c r="G1" s="67" t="s">
        <v>10</v>
      </c>
      <c r="H1" s="68" t="s">
        <v>235</v>
      </c>
      <c r="I1" s="65" t="s">
        <v>236</v>
      </c>
      <c r="J1" s="63" t="s">
        <v>237</v>
      </c>
      <c r="K1" s="63" t="s">
        <v>238</v>
      </c>
      <c r="L1" s="63" t="s">
        <v>239</v>
      </c>
      <c r="M1" s="63" t="s">
        <v>240</v>
      </c>
      <c r="N1" s="63" t="s">
        <v>241</v>
      </c>
    </row>
    <row r="2" spans="1:14" ht="15.6" x14ac:dyDescent="0.3">
      <c r="A2" s="64" t="s">
        <v>242</v>
      </c>
      <c r="B2" s="69">
        <v>8000</v>
      </c>
      <c r="C2" s="70" t="s">
        <v>21</v>
      </c>
      <c r="D2" s="69" t="s">
        <v>243</v>
      </c>
      <c r="E2" s="69" t="s">
        <v>244</v>
      </c>
      <c r="F2" s="71">
        <v>4672.33</v>
      </c>
      <c r="G2" s="71">
        <v>2157.5100000000002</v>
      </c>
      <c r="H2" s="72">
        <f t="shared" ref="H2:H9" si="0">F2-G2</f>
        <v>2514.8199999999997</v>
      </c>
      <c r="I2" s="69" t="s">
        <v>26</v>
      </c>
      <c r="J2" s="64" t="s">
        <v>228</v>
      </c>
      <c r="K2" s="64"/>
      <c r="L2" s="64"/>
      <c r="M2" s="64"/>
      <c r="N2" s="64" t="s">
        <v>251</v>
      </c>
    </row>
    <row r="3" spans="1:14" ht="15.6" x14ac:dyDescent="0.3">
      <c r="A3" s="64" t="s">
        <v>242</v>
      </c>
      <c r="B3" s="64">
        <v>8974</v>
      </c>
      <c r="C3" s="64" t="s">
        <v>21</v>
      </c>
      <c r="D3" s="64" t="s">
        <v>243</v>
      </c>
      <c r="E3" s="64" t="s">
        <v>244</v>
      </c>
      <c r="F3" s="61">
        <v>1521.68</v>
      </c>
      <c r="G3" s="61">
        <v>0</v>
      </c>
      <c r="H3" s="72">
        <f t="shared" si="0"/>
        <v>1521.68</v>
      </c>
      <c r="I3" s="62" t="s">
        <v>26</v>
      </c>
      <c r="J3" s="64" t="s">
        <v>228</v>
      </c>
      <c r="K3" s="64"/>
      <c r="L3" s="64"/>
      <c r="M3" s="64"/>
      <c r="N3" s="73" t="s">
        <v>251</v>
      </c>
    </row>
    <row r="4" spans="1:14" ht="15.6" x14ac:dyDescent="0.3">
      <c r="A4" s="64" t="s">
        <v>242</v>
      </c>
      <c r="B4" s="69">
        <v>8585</v>
      </c>
      <c r="C4" s="70" t="s">
        <v>212</v>
      </c>
      <c r="D4" s="69" t="s">
        <v>243</v>
      </c>
      <c r="E4" s="69" t="s">
        <v>244</v>
      </c>
      <c r="F4" s="71">
        <v>19720.29</v>
      </c>
      <c r="G4" s="71">
        <v>0</v>
      </c>
      <c r="H4" s="72">
        <f t="shared" si="0"/>
        <v>19720.29</v>
      </c>
      <c r="I4" s="69" t="s">
        <v>8</v>
      </c>
      <c r="J4" s="64" t="s">
        <v>228</v>
      </c>
      <c r="K4" s="64"/>
      <c r="L4" s="64"/>
      <c r="M4" s="64"/>
      <c r="N4" s="64" t="s">
        <v>252</v>
      </c>
    </row>
    <row r="5" spans="1:14" ht="15.6" x14ac:dyDescent="0.3">
      <c r="A5" s="64" t="s">
        <v>242</v>
      </c>
      <c r="B5" s="64">
        <v>1674</v>
      </c>
      <c r="C5" s="64" t="s">
        <v>212</v>
      </c>
      <c r="D5" s="64" t="s">
        <v>243</v>
      </c>
      <c r="E5" s="64" t="s">
        <v>244</v>
      </c>
      <c r="F5" s="61">
        <v>8941641.8300000001</v>
      </c>
      <c r="G5" s="61">
        <v>1366497.09</v>
      </c>
      <c r="H5" s="72">
        <f t="shared" si="0"/>
        <v>7575144.7400000002</v>
      </c>
      <c r="I5" s="62" t="s">
        <v>8</v>
      </c>
      <c r="J5" s="64" t="s">
        <v>245</v>
      </c>
      <c r="K5" s="64"/>
      <c r="L5" s="64"/>
      <c r="M5" s="64"/>
      <c r="N5" s="73" t="s">
        <v>253</v>
      </c>
    </row>
    <row r="6" spans="1:14" ht="15.6" x14ac:dyDescent="0.3">
      <c r="A6" s="64" t="s">
        <v>242</v>
      </c>
      <c r="B6" s="69">
        <v>7999</v>
      </c>
      <c r="C6" s="70" t="s">
        <v>212</v>
      </c>
      <c r="D6" s="69" t="s">
        <v>243</v>
      </c>
      <c r="E6" s="69" t="s">
        <v>244</v>
      </c>
      <c r="F6" s="71">
        <v>84289.67</v>
      </c>
      <c r="G6" s="71">
        <v>0</v>
      </c>
      <c r="H6" s="72">
        <f t="shared" si="0"/>
        <v>84289.67</v>
      </c>
      <c r="I6" s="69" t="s">
        <v>8</v>
      </c>
      <c r="J6" s="64" t="s">
        <v>228</v>
      </c>
      <c r="K6" s="64"/>
      <c r="L6" s="64"/>
      <c r="M6" s="64"/>
      <c r="N6" s="64" t="s">
        <v>251</v>
      </c>
    </row>
    <row r="7" spans="1:14" ht="15.6" x14ac:dyDescent="0.3">
      <c r="A7" s="64" t="s">
        <v>242</v>
      </c>
      <c r="B7" s="64">
        <v>8001</v>
      </c>
      <c r="C7" s="64" t="s">
        <v>212</v>
      </c>
      <c r="D7" s="64" t="s">
        <v>243</v>
      </c>
      <c r="E7" s="64" t="s">
        <v>244</v>
      </c>
      <c r="F7" s="61">
        <v>25045.85</v>
      </c>
      <c r="G7" s="61"/>
      <c r="H7" s="72">
        <f t="shared" si="0"/>
        <v>25045.85</v>
      </c>
      <c r="I7" s="62" t="s">
        <v>8</v>
      </c>
      <c r="J7" s="64" t="s">
        <v>245</v>
      </c>
      <c r="K7" s="64"/>
      <c r="L7" s="64"/>
      <c r="M7" s="64"/>
      <c r="N7" s="73" t="s">
        <v>251</v>
      </c>
    </row>
    <row r="8" spans="1:14" ht="15.6" x14ac:dyDescent="0.3">
      <c r="A8" s="64" t="s">
        <v>246</v>
      </c>
      <c r="B8" s="64">
        <v>10059</v>
      </c>
      <c r="C8" s="64" t="s">
        <v>21</v>
      </c>
      <c r="D8" s="64" t="s">
        <v>247</v>
      </c>
      <c r="E8" s="64" t="s">
        <v>248</v>
      </c>
      <c r="F8" s="61">
        <v>266.39</v>
      </c>
      <c r="G8" s="61">
        <v>0</v>
      </c>
      <c r="H8" s="72">
        <f t="shared" si="0"/>
        <v>266.39</v>
      </c>
      <c r="I8" s="62" t="s">
        <v>8</v>
      </c>
      <c r="J8" s="64" t="s">
        <v>228</v>
      </c>
      <c r="K8" s="64"/>
      <c r="L8" s="64"/>
      <c r="M8" s="64"/>
      <c r="N8" s="95" t="s">
        <v>271</v>
      </c>
    </row>
    <row r="9" spans="1:14" ht="15.6" x14ac:dyDescent="0.3">
      <c r="A9" s="64" t="s">
        <v>246</v>
      </c>
      <c r="B9" s="64">
        <v>7618</v>
      </c>
      <c r="C9" s="64" t="s">
        <v>21</v>
      </c>
      <c r="D9" s="64" t="s">
        <v>247</v>
      </c>
      <c r="E9" s="64" t="s">
        <v>248</v>
      </c>
      <c r="F9" s="61">
        <v>920679.47</v>
      </c>
      <c r="G9" s="61">
        <v>719618.54099999997</v>
      </c>
      <c r="H9" s="61">
        <f t="shared" si="0"/>
        <v>201060.929</v>
      </c>
      <c r="I9" s="62" t="s">
        <v>8</v>
      </c>
      <c r="J9" s="64" t="s">
        <v>245</v>
      </c>
      <c r="K9" s="64"/>
      <c r="L9" s="64"/>
      <c r="M9" s="64"/>
      <c r="N9" s="95"/>
    </row>
    <row r="10" spans="1:14" ht="15.6" x14ac:dyDescent="0.3">
      <c r="A10" s="64" t="s">
        <v>246</v>
      </c>
      <c r="B10" s="64">
        <v>7717</v>
      </c>
      <c r="C10" s="64" t="s">
        <v>21</v>
      </c>
      <c r="D10" s="64" t="s">
        <v>243</v>
      </c>
      <c r="E10" s="64" t="s">
        <v>244</v>
      </c>
      <c r="F10" s="61">
        <v>3416.2</v>
      </c>
      <c r="G10" s="61">
        <v>0</v>
      </c>
      <c r="H10" s="61">
        <v>3416.2</v>
      </c>
      <c r="I10" s="62" t="s">
        <v>8</v>
      </c>
      <c r="J10" s="64" t="s">
        <v>228</v>
      </c>
      <c r="K10" s="64"/>
      <c r="L10" s="64"/>
      <c r="M10" s="64"/>
      <c r="N10" s="73" t="s">
        <v>251</v>
      </c>
    </row>
    <row r="11" spans="1:14" ht="15.6" x14ac:dyDescent="0.3">
      <c r="A11" s="64" t="s">
        <v>246</v>
      </c>
      <c r="B11" s="64">
        <v>9188</v>
      </c>
      <c r="C11" s="64" t="s">
        <v>21</v>
      </c>
      <c r="D11" s="64" t="s">
        <v>243</v>
      </c>
      <c r="E11" s="64" t="s">
        <v>244</v>
      </c>
      <c r="F11" s="61">
        <v>45329.96</v>
      </c>
      <c r="G11" s="61">
        <v>0</v>
      </c>
      <c r="H11" s="75">
        <f>F11</f>
        <v>45329.96</v>
      </c>
      <c r="I11" s="62" t="s">
        <v>8</v>
      </c>
      <c r="J11" s="64" t="s">
        <v>228</v>
      </c>
    </row>
    <row r="12" spans="1:14" ht="15.6" x14ac:dyDescent="0.3">
      <c r="A12" s="64" t="s">
        <v>246</v>
      </c>
      <c r="B12" s="64">
        <v>8617</v>
      </c>
      <c r="C12" s="64" t="s">
        <v>21</v>
      </c>
      <c r="D12" s="64" t="s">
        <v>243</v>
      </c>
      <c r="E12" s="64" t="s">
        <v>244</v>
      </c>
      <c r="F12" s="61">
        <v>197385</v>
      </c>
      <c r="G12" s="61">
        <v>0</v>
      </c>
      <c r="H12" s="61"/>
      <c r="I12" s="62" t="s">
        <v>8</v>
      </c>
      <c r="J12" s="64" t="s">
        <v>228</v>
      </c>
      <c r="K12" s="64"/>
      <c r="L12" s="64"/>
      <c r="M12" s="64"/>
      <c r="N12" s="73"/>
    </row>
    <row r="13" spans="1:14" ht="15.6" x14ac:dyDescent="0.3">
      <c r="A13" s="64" t="s">
        <v>246</v>
      </c>
      <c r="B13" s="64">
        <v>9925</v>
      </c>
      <c r="C13" s="64" t="s">
        <v>21</v>
      </c>
      <c r="D13" s="64" t="s">
        <v>268</v>
      </c>
      <c r="E13" s="64" t="s">
        <v>244</v>
      </c>
      <c r="F13" s="61">
        <v>2417.44</v>
      </c>
      <c r="G13" s="61">
        <v>0</v>
      </c>
      <c r="H13" s="61">
        <v>2417.44</v>
      </c>
      <c r="I13" s="62" t="s">
        <v>8</v>
      </c>
      <c r="J13" s="64" t="s">
        <v>228</v>
      </c>
      <c r="K13" s="64"/>
      <c r="L13" s="64"/>
      <c r="M13" s="64"/>
      <c r="N13" s="73" t="s">
        <v>272</v>
      </c>
    </row>
    <row r="14" spans="1:14" ht="15.6" x14ac:dyDescent="0.3">
      <c r="A14" s="64" t="s">
        <v>246</v>
      </c>
      <c r="B14" s="64">
        <v>10102</v>
      </c>
      <c r="C14" s="64" t="s">
        <v>21</v>
      </c>
      <c r="D14" s="64" t="s">
        <v>268</v>
      </c>
      <c r="E14" s="64" t="s">
        <v>244</v>
      </c>
      <c r="F14" s="61">
        <v>4582</v>
      </c>
      <c r="G14" s="61">
        <v>0</v>
      </c>
      <c r="H14" s="61">
        <f>F14</f>
        <v>4582</v>
      </c>
      <c r="I14" s="62" t="s">
        <v>8</v>
      </c>
      <c r="J14" s="64" t="s">
        <v>228</v>
      </c>
      <c r="K14" s="64"/>
      <c r="L14" s="64"/>
      <c r="M14" s="64"/>
      <c r="N14" s="73" t="s">
        <v>272</v>
      </c>
    </row>
    <row r="15" spans="1:14" ht="15.6" x14ac:dyDescent="0.3">
      <c r="A15" s="64" t="s">
        <v>246</v>
      </c>
      <c r="B15" s="64">
        <v>10100</v>
      </c>
      <c r="C15" s="64" t="s">
        <v>21</v>
      </c>
      <c r="D15" s="64" t="s">
        <v>268</v>
      </c>
      <c r="E15" s="64" t="s">
        <v>244</v>
      </c>
      <c r="F15" s="61">
        <v>1856</v>
      </c>
      <c r="G15" s="61">
        <v>0</v>
      </c>
      <c r="H15" s="61">
        <f>F15</f>
        <v>1856</v>
      </c>
      <c r="I15" s="62" t="s">
        <v>8</v>
      </c>
      <c r="J15" s="64" t="s">
        <v>228</v>
      </c>
      <c r="K15" s="64"/>
      <c r="L15" s="64"/>
      <c r="M15" s="64"/>
      <c r="N15" s="73" t="s">
        <v>272</v>
      </c>
    </row>
    <row r="16" spans="1:14" ht="15.6" x14ac:dyDescent="0.3">
      <c r="A16" s="64" t="s">
        <v>246</v>
      </c>
      <c r="B16" s="64">
        <v>8489</v>
      </c>
      <c r="C16" s="64" t="s">
        <v>21</v>
      </c>
      <c r="D16" s="64" t="s">
        <v>243</v>
      </c>
      <c r="E16" s="64" t="s">
        <v>244</v>
      </c>
      <c r="F16" s="61">
        <v>21407.599999999999</v>
      </c>
      <c r="G16" s="61">
        <v>0</v>
      </c>
      <c r="H16" s="61">
        <f>F16</f>
        <v>21407.599999999999</v>
      </c>
      <c r="I16" s="62" t="s">
        <v>26</v>
      </c>
      <c r="J16" s="64" t="s">
        <v>228</v>
      </c>
      <c r="K16" s="64"/>
      <c r="L16" s="64"/>
      <c r="M16" s="64"/>
      <c r="N16" s="73" t="s">
        <v>250</v>
      </c>
    </row>
    <row r="17" spans="1:14" ht="15.6" x14ac:dyDescent="0.3">
      <c r="A17" s="64" t="s">
        <v>246</v>
      </c>
      <c r="B17" s="64">
        <v>7044</v>
      </c>
      <c r="C17" s="64" t="s">
        <v>21</v>
      </c>
      <c r="D17" s="64" t="s">
        <v>243</v>
      </c>
      <c r="E17" s="64" t="s">
        <v>244</v>
      </c>
      <c r="F17" s="61">
        <v>15557.57</v>
      </c>
      <c r="G17" s="61">
        <v>0</v>
      </c>
      <c r="H17" s="61">
        <v>15557.57</v>
      </c>
      <c r="I17" s="62" t="s">
        <v>26</v>
      </c>
      <c r="J17" s="64" t="s">
        <v>228</v>
      </c>
      <c r="K17" s="64"/>
      <c r="L17" s="64"/>
      <c r="M17" s="64"/>
      <c r="N17" s="73" t="s">
        <v>251</v>
      </c>
    </row>
    <row r="18" spans="1:14" ht="15.6" x14ac:dyDescent="0.3">
      <c r="A18" s="64" t="s">
        <v>246</v>
      </c>
      <c r="B18" s="64">
        <v>7973</v>
      </c>
      <c r="C18" s="64" t="s">
        <v>21</v>
      </c>
      <c r="D18" s="64" t="s">
        <v>243</v>
      </c>
      <c r="E18" s="64" t="s">
        <v>244</v>
      </c>
      <c r="F18" s="61">
        <v>14297</v>
      </c>
      <c r="G18" s="61">
        <v>0</v>
      </c>
      <c r="H18" s="61">
        <v>14297</v>
      </c>
      <c r="I18" s="62" t="s">
        <v>8</v>
      </c>
      <c r="J18" s="64" t="s">
        <v>228</v>
      </c>
      <c r="K18" s="64"/>
      <c r="L18" s="64"/>
      <c r="M18" s="64"/>
      <c r="N18" s="73" t="s">
        <v>251</v>
      </c>
    </row>
    <row r="19" spans="1:14" ht="15.6" x14ac:dyDescent="0.3">
      <c r="A19" s="64" t="s">
        <v>246</v>
      </c>
      <c r="B19" s="64">
        <v>8428</v>
      </c>
      <c r="C19" s="64" t="s">
        <v>212</v>
      </c>
      <c r="D19" s="64" t="s">
        <v>243</v>
      </c>
      <c r="E19" s="64" t="s">
        <v>244</v>
      </c>
      <c r="F19" s="61">
        <v>3481.29</v>
      </c>
      <c r="G19" s="61">
        <v>0</v>
      </c>
      <c r="H19" s="61">
        <f>F19-G19</f>
        <v>3481.29</v>
      </c>
      <c r="I19" s="62" t="s">
        <v>8</v>
      </c>
      <c r="J19" s="64" t="s">
        <v>228</v>
      </c>
      <c r="K19" s="64"/>
      <c r="L19" s="64"/>
      <c r="M19" s="64"/>
      <c r="N19" s="73"/>
    </row>
    <row r="20" spans="1:14" ht="15.6" x14ac:dyDescent="0.3">
      <c r="A20" s="64" t="s">
        <v>246</v>
      </c>
      <c r="B20" s="64">
        <v>9189</v>
      </c>
      <c r="C20" s="64" t="s">
        <v>212</v>
      </c>
      <c r="D20" s="64" t="s">
        <v>243</v>
      </c>
      <c r="E20" s="64" t="s">
        <v>244</v>
      </c>
      <c r="F20" s="61">
        <v>58970.22</v>
      </c>
      <c r="G20" s="61">
        <v>0</v>
      </c>
      <c r="H20" s="75">
        <f>F20</f>
        <v>58970.22</v>
      </c>
      <c r="I20" s="62" t="s">
        <v>8</v>
      </c>
      <c r="J20" s="64" t="s">
        <v>245</v>
      </c>
    </row>
    <row r="21" spans="1:14" ht="15.6" x14ac:dyDescent="0.3">
      <c r="A21" s="64" t="s">
        <v>246</v>
      </c>
      <c r="B21" s="64">
        <v>9926</v>
      </c>
      <c r="C21" s="64" t="s">
        <v>212</v>
      </c>
      <c r="D21" s="64" t="s">
        <v>268</v>
      </c>
      <c r="E21" s="64" t="s">
        <v>244</v>
      </c>
      <c r="F21" s="61">
        <v>10440</v>
      </c>
      <c r="G21" s="61">
        <v>0</v>
      </c>
      <c r="H21" s="75">
        <f>F21</f>
        <v>10440</v>
      </c>
      <c r="I21" s="62" t="s">
        <v>8</v>
      </c>
      <c r="J21" s="64" t="s">
        <v>245</v>
      </c>
      <c r="N21" s="73" t="s">
        <v>273</v>
      </c>
    </row>
    <row r="22" spans="1:14" ht="15.6" x14ac:dyDescent="0.3">
      <c r="A22" s="64" t="s">
        <v>246</v>
      </c>
      <c r="B22" s="64">
        <v>9965</v>
      </c>
      <c r="C22" s="64" t="s">
        <v>212</v>
      </c>
      <c r="D22" s="64" t="s">
        <v>268</v>
      </c>
      <c r="E22" s="64" t="s">
        <v>244</v>
      </c>
      <c r="F22" s="61">
        <v>12566.66</v>
      </c>
      <c r="G22" s="61">
        <v>0</v>
      </c>
      <c r="H22" s="75">
        <f>F22</f>
        <v>12566.66</v>
      </c>
      <c r="I22" s="62" t="s">
        <v>8</v>
      </c>
      <c r="J22" s="64" t="s">
        <v>245</v>
      </c>
      <c r="N22" s="73" t="s">
        <v>273</v>
      </c>
    </row>
    <row r="23" spans="1:14" ht="15.6" x14ac:dyDescent="0.3">
      <c r="A23" s="64" t="s">
        <v>246</v>
      </c>
      <c r="B23" s="64">
        <v>10101</v>
      </c>
      <c r="C23" s="64" t="s">
        <v>212</v>
      </c>
      <c r="D23" s="64" t="s">
        <v>268</v>
      </c>
      <c r="E23" s="64" t="s">
        <v>244</v>
      </c>
      <c r="F23" s="61">
        <v>6960</v>
      </c>
      <c r="G23" s="61">
        <v>0</v>
      </c>
      <c r="H23" s="79">
        <v>6960</v>
      </c>
      <c r="I23" s="62" t="s">
        <v>8</v>
      </c>
      <c r="J23" s="64" t="s">
        <v>245</v>
      </c>
      <c r="N23" s="73" t="s">
        <v>273</v>
      </c>
    </row>
    <row r="31" spans="1:14" x14ac:dyDescent="0.3">
      <c r="E31" s="60"/>
    </row>
    <row r="32" spans="1:14" x14ac:dyDescent="0.3">
      <c r="E32" s="60"/>
    </row>
    <row r="33" spans="5:5" x14ac:dyDescent="0.3">
      <c r="E33" s="60"/>
    </row>
    <row r="34" spans="5:5" x14ac:dyDescent="0.3">
      <c r="E34" s="60"/>
    </row>
  </sheetData>
  <autoFilter ref="A1:AK1" xr:uid="{2680154B-E04E-46A1-8D50-44A626C8FC81}">
    <sortState xmlns:xlrd2="http://schemas.microsoft.com/office/spreadsheetml/2017/richdata2" ref="A2:N20">
      <sortCondition ref="A1"/>
    </sortState>
  </autoFilter>
  <mergeCells count="1">
    <mergeCell ref="N8:N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2F77-98C5-4241-9C3D-4ED4D9CD7B29}">
  <sheetPr>
    <tabColor rgb="FFFFFF00"/>
  </sheetPr>
  <dimension ref="A1:H71"/>
  <sheetViews>
    <sheetView showGridLines="0" workbookViewId="0">
      <pane ySplit="1" topLeftCell="A2" activePane="bottomLeft" state="frozen"/>
      <selection pane="bottomLeft" activeCell="C10" sqref="C10"/>
    </sheetView>
  </sheetViews>
  <sheetFormatPr baseColWidth="10" defaultColWidth="11.44140625" defaultRowHeight="14.4" x14ac:dyDescent="0.3"/>
  <cols>
    <col min="1" max="1" width="11.44140625" style="46"/>
    <col min="2" max="2" width="22.33203125" style="46" bestFit="1" customWidth="1"/>
    <col min="3" max="3" width="88.6640625" style="46" bestFit="1" customWidth="1"/>
    <col min="4" max="4" width="11.44140625" style="46"/>
    <col min="5" max="5" width="14.44140625" style="46" customWidth="1"/>
    <col min="6" max="6" width="25.5546875" style="46" customWidth="1"/>
    <col min="7" max="7" width="12.44140625" style="46" bestFit="1" customWidth="1"/>
    <col min="8" max="16384" width="11.44140625" style="46"/>
  </cols>
  <sheetData>
    <row r="1" spans="1:8" customFormat="1" ht="28.8" x14ac:dyDescent="0.3">
      <c r="A1" s="28" t="s">
        <v>121</v>
      </c>
      <c r="B1" s="28" t="s">
        <v>122</v>
      </c>
      <c r="C1" s="28" t="s">
        <v>123</v>
      </c>
      <c r="D1" s="28" t="s">
        <v>124</v>
      </c>
      <c r="E1" s="28" t="s">
        <v>131</v>
      </c>
      <c r="F1" s="28" t="s">
        <v>132</v>
      </c>
      <c r="G1" s="28" t="s">
        <v>133</v>
      </c>
    </row>
    <row r="2" spans="1:8" x14ac:dyDescent="0.3">
      <c r="A2" s="40" t="s">
        <v>154</v>
      </c>
      <c r="B2" s="33" t="s">
        <v>146</v>
      </c>
      <c r="C2" s="34" t="s">
        <v>147</v>
      </c>
      <c r="D2" s="34"/>
      <c r="E2" s="34"/>
      <c r="F2" s="34" t="s">
        <v>50</v>
      </c>
      <c r="G2" s="41">
        <v>8182547308</v>
      </c>
      <c r="H2" s="35"/>
    </row>
    <row r="3" spans="1:8" x14ac:dyDescent="0.3">
      <c r="A3" s="42" t="s">
        <v>154</v>
      </c>
      <c r="B3" s="37" t="s">
        <v>148</v>
      </c>
      <c r="C3" s="35" t="s">
        <v>149</v>
      </c>
      <c r="D3" s="34"/>
      <c r="E3" s="35"/>
      <c r="F3" s="35" t="s">
        <v>52</v>
      </c>
      <c r="G3" s="36">
        <v>8116362665</v>
      </c>
      <c r="H3" s="35"/>
    </row>
    <row r="4" spans="1:8" x14ac:dyDescent="0.3">
      <c r="A4" s="39" t="s">
        <v>154</v>
      </c>
      <c r="B4" s="37" t="s">
        <v>150</v>
      </c>
      <c r="C4" s="35" t="s">
        <v>166</v>
      </c>
      <c r="D4" s="34"/>
      <c r="E4" s="35"/>
      <c r="F4" s="35" t="s">
        <v>151</v>
      </c>
      <c r="G4" s="36">
        <v>8117487692</v>
      </c>
      <c r="H4" s="35"/>
    </row>
    <row r="5" spans="1:8" x14ac:dyDescent="0.3">
      <c r="A5" s="39" t="s">
        <v>154</v>
      </c>
      <c r="B5" s="37" t="s">
        <v>45</v>
      </c>
      <c r="C5" s="35" t="s">
        <v>145</v>
      </c>
      <c r="D5" s="34"/>
      <c r="E5" s="35"/>
      <c r="F5" s="35" t="s">
        <v>49</v>
      </c>
      <c r="G5" s="36">
        <v>8186563630</v>
      </c>
      <c r="H5" s="35"/>
    </row>
    <row r="6" spans="1:8" x14ac:dyDescent="0.3">
      <c r="A6" s="43" t="s">
        <v>152</v>
      </c>
      <c r="B6" s="37" t="s">
        <v>155</v>
      </c>
      <c r="C6" s="35" t="s">
        <v>156</v>
      </c>
      <c r="D6" s="34"/>
      <c r="E6" s="35"/>
      <c r="F6" s="35" t="s">
        <v>157</v>
      </c>
      <c r="G6" s="36">
        <v>8117758985</v>
      </c>
      <c r="H6" s="35"/>
    </row>
    <row r="7" spans="1:8" x14ac:dyDescent="0.3">
      <c r="A7" s="43" t="s">
        <v>152</v>
      </c>
      <c r="B7" s="37" t="s">
        <v>158</v>
      </c>
      <c r="C7" s="35" t="s">
        <v>159</v>
      </c>
      <c r="D7" s="34"/>
      <c r="E7" s="35"/>
      <c r="F7" s="35" t="s">
        <v>55</v>
      </c>
      <c r="G7" s="36">
        <v>8182525781</v>
      </c>
      <c r="H7" s="35"/>
    </row>
    <row r="8" spans="1:8" x14ac:dyDescent="0.3">
      <c r="A8" s="47" t="s">
        <v>128</v>
      </c>
      <c r="B8" s="33" t="s">
        <v>130</v>
      </c>
      <c r="C8" s="34" t="s">
        <v>129</v>
      </c>
      <c r="D8" s="34"/>
      <c r="E8" s="35"/>
      <c r="F8" s="35" t="s">
        <v>47</v>
      </c>
      <c r="G8" s="36">
        <v>8186813264</v>
      </c>
      <c r="H8" s="36"/>
    </row>
    <row r="9" spans="1:8" s="35" customFormat="1" x14ac:dyDescent="0.3">
      <c r="A9" s="48" t="s">
        <v>160</v>
      </c>
      <c r="B9" s="37" t="s">
        <v>165</v>
      </c>
      <c r="C9" s="35" t="s">
        <v>167</v>
      </c>
      <c r="D9" s="34"/>
    </row>
    <row r="10" spans="1:8" s="35" customFormat="1" x14ac:dyDescent="0.3">
      <c r="A10" s="48" t="s">
        <v>160</v>
      </c>
      <c r="B10" s="37" t="s">
        <v>161</v>
      </c>
      <c r="C10" s="35" t="s">
        <v>170</v>
      </c>
      <c r="D10" s="34"/>
    </row>
    <row r="11" spans="1:8" s="35" customFormat="1" x14ac:dyDescent="0.3">
      <c r="A11" s="49" t="s">
        <v>168</v>
      </c>
      <c r="B11" s="37" t="s">
        <v>171</v>
      </c>
      <c r="C11" s="35" t="s">
        <v>169</v>
      </c>
      <c r="D11" s="34"/>
      <c r="F11" s="35" t="s">
        <v>74</v>
      </c>
      <c r="G11" s="35">
        <v>8111028943</v>
      </c>
    </row>
    <row r="12" spans="1:8" s="35" customFormat="1" x14ac:dyDescent="0.3">
      <c r="A12" s="50" t="s">
        <v>174</v>
      </c>
      <c r="B12" s="37" t="s">
        <v>95</v>
      </c>
      <c r="C12" s="35" t="s">
        <v>178</v>
      </c>
      <c r="E12" s="38" t="s">
        <v>177</v>
      </c>
      <c r="F12" s="35" t="s">
        <v>97</v>
      </c>
      <c r="G12" s="38" t="s">
        <v>176</v>
      </c>
    </row>
    <row r="13" spans="1:8" s="35" customFormat="1" x14ac:dyDescent="0.3">
      <c r="A13" s="50" t="s">
        <v>174</v>
      </c>
      <c r="B13" s="37" t="s">
        <v>108</v>
      </c>
      <c r="C13" s="35" t="s">
        <v>186</v>
      </c>
      <c r="F13" s="35" t="s">
        <v>183</v>
      </c>
      <c r="G13" s="35">
        <v>8126209431</v>
      </c>
    </row>
    <row r="14" spans="1:8" s="35" customFormat="1" x14ac:dyDescent="0.3">
      <c r="A14" s="50" t="s">
        <v>174</v>
      </c>
      <c r="B14" s="37" t="s">
        <v>179</v>
      </c>
      <c r="C14" s="35" t="s">
        <v>182</v>
      </c>
      <c r="F14" s="35" t="s">
        <v>109</v>
      </c>
      <c r="G14" s="35">
        <v>5580080319</v>
      </c>
    </row>
    <row r="15" spans="1:8" s="35" customFormat="1" x14ac:dyDescent="0.3">
      <c r="A15" s="50" t="s">
        <v>174</v>
      </c>
      <c r="B15" s="37" t="s">
        <v>181</v>
      </c>
      <c r="C15" s="35" t="s">
        <v>185</v>
      </c>
      <c r="F15" s="35" t="s">
        <v>184</v>
      </c>
      <c r="G15" s="35">
        <v>8127591605</v>
      </c>
    </row>
    <row r="16" spans="1:8" ht="11.25" customHeight="1" x14ac:dyDescent="0.3">
      <c r="A16" s="32" t="s">
        <v>125</v>
      </c>
      <c r="B16" s="33" t="s">
        <v>126</v>
      </c>
      <c r="C16" s="34" t="s">
        <v>135</v>
      </c>
      <c r="E16" s="35"/>
      <c r="F16" s="35" t="s">
        <v>134</v>
      </c>
      <c r="G16" s="36"/>
      <c r="H16" s="36"/>
    </row>
    <row r="17" spans="1:8" hidden="1" x14ac:dyDescent="0.3">
      <c r="A17" s="44" t="s">
        <v>125</v>
      </c>
      <c r="B17" s="45" t="s">
        <v>127</v>
      </c>
      <c r="C17" s="34" t="s">
        <v>173</v>
      </c>
      <c r="D17" s="34"/>
      <c r="E17" s="35"/>
      <c r="F17" s="35" t="s">
        <v>138</v>
      </c>
      <c r="G17" s="36"/>
      <c r="H17" s="36">
        <v>8777703044</v>
      </c>
    </row>
    <row r="18" spans="1:8" x14ac:dyDescent="0.3">
      <c r="A18" s="32" t="s">
        <v>125</v>
      </c>
      <c r="B18" s="37" t="s">
        <v>136</v>
      </c>
      <c r="C18" s="35" t="s">
        <v>137</v>
      </c>
      <c r="D18" s="34"/>
      <c r="E18" s="38" t="s">
        <v>140</v>
      </c>
      <c r="F18" s="35" t="s">
        <v>139</v>
      </c>
      <c r="G18" s="36"/>
      <c r="H18" s="35"/>
    </row>
    <row r="19" spans="1:8" x14ac:dyDescent="0.3">
      <c r="A19" s="32" t="s">
        <v>153</v>
      </c>
      <c r="B19" s="37" t="s">
        <v>142</v>
      </c>
      <c r="C19" s="35" t="s">
        <v>175</v>
      </c>
      <c r="D19" s="34"/>
      <c r="E19" s="35" t="s">
        <v>180</v>
      </c>
      <c r="F19" s="35" t="s">
        <v>141</v>
      </c>
      <c r="G19" s="36">
        <v>8184713381</v>
      </c>
      <c r="H19" s="35"/>
    </row>
    <row r="20" spans="1:8" x14ac:dyDescent="0.3">
      <c r="A20" s="32" t="s">
        <v>153</v>
      </c>
      <c r="B20" s="37" t="s">
        <v>143</v>
      </c>
      <c r="C20" s="35" t="s">
        <v>187</v>
      </c>
      <c r="D20" s="34"/>
      <c r="E20" s="35"/>
      <c r="F20" s="35"/>
      <c r="G20" s="36"/>
      <c r="H20" s="35"/>
    </row>
    <row r="24" spans="1:8" s="35" customFormat="1" x14ac:dyDescent="0.3"/>
    <row r="25" spans="1:8" s="35" customFormat="1" x14ac:dyDescent="0.3"/>
    <row r="26" spans="1:8" s="35" customFormat="1" x14ac:dyDescent="0.3"/>
    <row r="27" spans="1:8" s="35" customFormat="1" x14ac:dyDescent="0.3"/>
    <row r="28" spans="1:8" s="35" customFormat="1" x14ac:dyDescent="0.3"/>
    <row r="29" spans="1:8" s="35" customFormat="1" x14ac:dyDescent="0.3"/>
    <row r="30" spans="1:8" s="35" customFormat="1" x14ac:dyDescent="0.3"/>
    <row r="31" spans="1:8" s="35" customFormat="1" x14ac:dyDescent="0.3"/>
    <row r="32" spans="1:8" s="35" customFormat="1" x14ac:dyDescent="0.3"/>
    <row r="33" s="35" customFormat="1" x14ac:dyDescent="0.3"/>
    <row r="34" s="35" customFormat="1" x14ac:dyDescent="0.3"/>
    <row r="35" s="35" customFormat="1" x14ac:dyDescent="0.3"/>
    <row r="36" s="35" customFormat="1" x14ac:dyDescent="0.3"/>
    <row r="37" s="35" customFormat="1" x14ac:dyDescent="0.3"/>
    <row r="38" s="35" customFormat="1" x14ac:dyDescent="0.3"/>
    <row r="39" s="35" customFormat="1" x14ac:dyDescent="0.3"/>
    <row r="40" s="35" customFormat="1" x14ac:dyDescent="0.3"/>
    <row r="41" s="35" customFormat="1" x14ac:dyDescent="0.3"/>
    <row r="42" s="35" customFormat="1" x14ac:dyDescent="0.3"/>
    <row r="43" s="35" customFormat="1" x14ac:dyDescent="0.3"/>
    <row r="44" s="35" customFormat="1" x14ac:dyDescent="0.3"/>
    <row r="45" s="35" customFormat="1" x14ac:dyDescent="0.3"/>
    <row r="46" s="35" customFormat="1" x14ac:dyDescent="0.3"/>
    <row r="47" s="35" customFormat="1" x14ac:dyDescent="0.3"/>
    <row r="48" s="35" customFormat="1" x14ac:dyDescent="0.3"/>
    <row r="49" s="35" customFormat="1" x14ac:dyDescent="0.3"/>
    <row r="50" s="35" customFormat="1" x14ac:dyDescent="0.3"/>
    <row r="51" s="35" customFormat="1" x14ac:dyDescent="0.3"/>
    <row r="52" s="35" customFormat="1" x14ac:dyDescent="0.3"/>
    <row r="53" s="35" customFormat="1" x14ac:dyDescent="0.3"/>
    <row r="54" s="35" customFormat="1" x14ac:dyDescent="0.3"/>
    <row r="55" s="35" customFormat="1" x14ac:dyDescent="0.3"/>
    <row r="56" s="35" customFormat="1" x14ac:dyDescent="0.3"/>
    <row r="57" s="35" customFormat="1" x14ac:dyDescent="0.3"/>
    <row r="58" s="35" customFormat="1" x14ac:dyDescent="0.3"/>
    <row r="59" s="35" customFormat="1" x14ac:dyDescent="0.3"/>
    <row r="60" s="35" customFormat="1" x14ac:dyDescent="0.3"/>
    <row r="61" s="35" customFormat="1" x14ac:dyDescent="0.3"/>
    <row r="62" s="35" customFormat="1" x14ac:dyDescent="0.3"/>
    <row r="63" s="35" customFormat="1" x14ac:dyDescent="0.3"/>
    <row r="64" s="35" customFormat="1" x14ac:dyDescent="0.3"/>
    <row r="65" s="35" customFormat="1" x14ac:dyDescent="0.3"/>
    <row r="66" s="35" customFormat="1" x14ac:dyDescent="0.3"/>
    <row r="67" s="35" customFormat="1" x14ac:dyDescent="0.3"/>
    <row r="68" s="35" customFormat="1" x14ac:dyDescent="0.3"/>
    <row r="69" s="35" customFormat="1" x14ac:dyDescent="0.3"/>
    <row r="70" s="35" customFormat="1" x14ac:dyDescent="0.3"/>
    <row r="71" s="35" customFormat="1" x14ac:dyDescent="0.3"/>
  </sheetData>
  <autoFilter ref="A1:G1" xr:uid="{9FF42F77-98C5-4241-9C3D-4ED4D9CD7B29}"/>
  <hyperlinks>
    <hyperlink ref="E18" r:id="rId1" xr:uid="{708C7993-056D-46FB-BC20-46066E311A3D}"/>
    <hyperlink ref="G12" r:id="rId2" xr:uid="{CACBDBBC-2B10-49BF-98E2-BFDD8FD639F0}"/>
    <hyperlink ref="E12" r:id="rId3" xr:uid="{A3C47A03-0DCF-4218-B884-803E364CF662}"/>
  </hyperlinks>
  <pageMargins left="0.7" right="0.7" top="0.75" bottom="0.75" header="0.3" footer="0.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7" r:id="rId6" name="Check Box 3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15</xdr:row>
                    <xdr:rowOff>0</xdr:rowOff>
                  </from>
                  <to>
                    <xdr:col>3</xdr:col>
                    <xdr:colOff>518160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15</xdr:row>
                    <xdr:rowOff>365760</xdr:rowOff>
                  </from>
                  <to>
                    <xdr:col>3</xdr:col>
                    <xdr:colOff>518160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16</xdr:row>
                    <xdr:rowOff>365760</xdr:rowOff>
                  </from>
                  <to>
                    <xdr:col>3</xdr:col>
                    <xdr:colOff>518160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17</xdr:row>
                    <xdr:rowOff>365760</xdr:rowOff>
                  </from>
                  <to>
                    <xdr:col>3</xdr:col>
                    <xdr:colOff>518160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18</xdr:row>
                    <xdr:rowOff>365760</xdr:rowOff>
                  </from>
                  <to>
                    <xdr:col>3</xdr:col>
                    <xdr:colOff>518160</xdr:colOff>
                    <xdr:row>20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1" name="Check Box 9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0</xdr:row>
                    <xdr:rowOff>365760</xdr:rowOff>
                  </from>
                  <to>
                    <xdr:col>3</xdr:col>
                    <xdr:colOff>518160</xdr:colOff>
                    <xdr:row>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2" name="Check Box 10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</xdr:row>
                    <xdr:rowOff>365760</xdr:rowOff>
                  </from>
                  <to>
                    <xdr:col>3</xdr:col>
                    <xdr:colOff>518160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3" name="Check Box 11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2</xdr:row>
                    <xdr:rowOff>365760</xdr:rowOff>
                  </from>
                  <to>
                    <xdr:col>3</xdr:col>
                    <xdr:colOff>518160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4" name="Check Box 12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5</xdr:row>
                    <xdr:rowOff>0</xdr:rowOff>
                  </from>
                  <to>
                    <xdr:col>3</xdr:col>
                    <xdr:colOff>518160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5" name="Check Box 13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5</xdr:row>
                    <xdr:rowOff>365760</xdr:rowOff>
                  </from>
                  <to>
                    <xdr:col>3</xdr:col>
                    <xdr:colOff>518160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6" name="Check Box 14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5</xdr:row>
                    <xdr:rowOff>365760</xdr:rowOff>
                  </from>
                  <to>
                    <xdr:col>3</xdr:col>
                    <xdr:colOff>518160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7" name="Check Box 15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6</xdr:row>
                    <xdr:rowOff>365760</xdr:rowOff>
                  </from>
                  <to>
                    <xdr:col>3</xdr:col>
                    <xdr:colOff>518160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8" name="Check Box 16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6</xdr:row>
                    <xdr:rowOff>365760</xdr:rowOff>
                  </from>
                  <to>
                    <xdr:col>3</xdr:col>
                    <xdr:colOff>518160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9" name="Check Box 17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6</xdr:row>
                    <xdr:rowOff>365760</xdr:rowOff>
                  </from>
                  <to>
                    <xdr:col>3</xdr:col>
                    <xdr:colOff>518160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0" name="Check Box 18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7</xdr:row>
                    <xdr:rowOff>365760</xdr:rowOff>
                  </from>
                  <to>
                    <xdr:col>3</xdr:col>
                    <xdr:colOff>518160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1" name="Check Box 19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7</xdr:row>
                    <xdr:rowOff>365760</xdr:rowOff>
                  </from>
                  <to>
                    <xdr:col>3</xdr:col>
                    <xdr:colOff>518160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2" name="Check Box 20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7</xdr:row>
                    <xdr:rowOff>365760</xdr:rowOff>
                  </from>
                  <to>
                    <xdr:col>3</xdr:col>
                    <xdr:colOff>518160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3" name="Check Box 21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7</xdr:row>
                    <xdr:rowOff>365760</xdr:rowOff>
                  </from>
                  <to>
                    <xdr:col>3</xdr:col>
                    <xdr:colOff>518160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4" name="Check Box 22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8</xdr:row>
                    <xdr:rowOff>365760</xdr:rowOff>
                  </from>
                  <to>
                    <xdr:col>3</xdr:col>
                    <xdr:colOff>518160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5" name="Check Box 23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8</xdr:row>
                    <xdr:rowOff>365760</xdr:rowOff>
                  </from>
                  <to>
                    <xdr:col>3</xdr:col>
                    <xdr:colOff>518160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6" name="Check Box 24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8</xdr:row>
                    <xdr:rowOff>365760</xdr:rowOff>
                  </from>
                  <to>
                    <xdr:col>3</xdr:col>
                    <xdr:colOff>518160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7" name="Check Box 25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8</xdr:row>
                    <xdr:rowOff>365760</xdr:rowOff>
                  </from>
                  <to>
                    <xdr:col>3</xdr:col>
                    <xdr:colOff>518160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8" name="Check Box 26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9</xdr:row>
                    <xdr:rowOff>365760</xdr:rowOff>
                  </from>
                  <to>
                    <xdr:col>3</xdr:col>
                    <xdr:colOff>518160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29" name="Check Box 27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9</xdr:row>
                    <xdr:rowOff>365760</xdr:rowOff>
                  </from>
                  <to>
                    <xdr:col>3</xdr:col>
                    <xdr:colOff>518160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0" name="Check Box 28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9</xdr:row>
                    <xdr:rowOff>365760</xdr:rowOff>
                  </from>
                  <to>
                    <xdr:col>3</xdr:col>
                    <xdr:colOff>518160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1" name="Check Box 29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9</xdr:row>
                    <xdr:rowOff>365760</xdr:rowOff>
                  </from>
                  <to>
                    <xdr:col>3</xdr:col>
                    <xdr:colOff>518160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2" name="Check Box 30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9</xdr:row>
                    <xdr:rowOff>365760</xdr:rowOff>
                  </from>
                  <to>
                    <xdr:col>3</xdr:col>
                    <xdr:colOff>518160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3" name="Check Box 31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9</xdr:row>
                    <xdr:rowOff>365760</xdr:rowOff>
                  </from>
                  <to>
                    <xdr:col>3</xdr:col>
                    <xdr:colOff>518160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4" name="Check Box 32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9</xdr:row>
                    <xdr:rowOff>365760</xdr:rowOff>
                  </from>
                  <to>
                    <xdr:col>3</xdr:col>
                    <xdr:colOff>518160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5" name="Check Box 33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9</xdr:row>
                    <xdr:rowOff>365760</xdr:rowOff>
                  </from>
                  <to>
                    <xdr:col>3</xdr:col>
                    <xdr:colOff>518160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6" name="Check Box 34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7" name="Check Box 35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8" name="Check Box 36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39" name="Check Box 37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0" name="Check Box 38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1" name="Check Box 39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2" name="Check Box 40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43" name="Check Box 41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44" name="Check Box 42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45" name="Check Box 43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8" r:id="rId46" name="Check Box 44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9" r:id="rId47" name="Check Box 45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48" name="Check Box 46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10</xdr:row>
                    <xdr:rowOff>365760</xdr:rowOff>
                  </from>
                  <to>
                    <xdr:col>3</xdr:col>
                    <xdr:colOff>518160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49" name="Check Box 47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2" r:id="rId50" name="Check Box 48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51" name="Check Box 49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4" r:id="rId52" name="Check Box 50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53" name="Check Box 51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54" name="Check Box 52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7" r:id="rId55" name="Check Box 53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8" r:id="rId56" name="Check Box 54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9" r:id="rId57" name="Check Box 55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0" r:id="rId58" name="Check Box 56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1" r:id="rId59" name="Check Box 57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2" r:id="rId60" name="Check Box 58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3" r:id="rId61" name="Check Box 59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4" r:id="rId62" name="Check Box 60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5" r:id="rId63" name="Check Box 61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6" r:id="rId64" name="Check Box 62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7" r:id="rId65" name="Check Box 63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11</xdr:row>
                    <xdr:rowOff>365760</xdr:rowOff>
                  </from>
                  <to>
                    <xdr:col>3</xdr:col>
                    <xdr:colOff>518160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8" r:id="rId66" name="Check Box 64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9" r:id="rId67" name="Check Box 65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0" r:id="rId68" name="Check Box 66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1" r:id="rId69" name="Check Box 67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2" r:id="rId70" name="Check Box 68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3" r:id="rId71" name="Check Box 69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4" r:id="rId72" name="Check Box 70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5" r:id="rId73" name="Check Box 71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6" r:id="rId74" name="Check Box 72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7" r:id="rId75" name="Check Box 73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8" r:id="rId76" name="Check Box 74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9" r:id="rId77" name="Check Box 75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0" r:id="rId78" name="Check Box 76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1" r:id="rId79" name="Check Box 77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2" r:id="rId80" name="Check Box 78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3" r:id="rId81" name="Check Box 79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4" r:id="rId82" name="Check Box 80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5" r:id="rId83" name="Check Box 81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6" r:id="rId84" name="Check Box 82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7" r:id="rId85" name="Check Box 83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8" r:id="rId86" name="Check Box 84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12</xdr:row>
                    <xdr:rowOff>365760</xdr:rowOff>
                  </from>
                  <to>
                    <xdr:col>3</xdr:col>
                    <xdr:colOff>518160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9" r:id="rId87" name="Check Box 85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13</xdr:row>
                    <xdr:rowOff>365760</xdr:rowOff>
                  </from>
                  <to>
                    <xdr:col>3</xdr:col>
                    <xdr:colOff>518160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0" r:id="rId88" name="Check Box 86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13</xdr:row>
                    <xdr:rowOff>365760</xdr:rowOff>
                  </from>
                  <to>
                    <xdr:col>3</xdr:col>
                    <xdr:colOff>518160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1" r:id="rId89" name="Check Box 87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13</xdr:row>
                    <xdr:rowOff>365760</xdr:rowOff>
                  </from>
                  <to>
                    <xdr:col>3</xdr:col>
                    <xdr:colOff>518160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2" r:id="rId90" name="Check Box 88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13</xdr:row>
                    <xdr:rowOff>365760</xdr:rowOff>
                  </from>
                  <to>
                    <xdr:col>3</xdr:col>
                    <xdr:colOff>518160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3" r:id="rId91" name="Check Box 89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2</xdr:row>
                    <xdr:rowOff>365760</xdr:rowOff>
                  </from>
                  <to>
                    <xdr:col>3</xdr:col>
                    <xdr:colOff>518160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4" r:id="rId92" name="Check Box 90">
              <controlPr defaultSize="0" print="0" autoFill="0" autoLine="0" autoPict="0">
                <anchor moveWithCells="1">
                  <from>
                    <xdr:col>3</xdr:col>
                    <xdr:colOff>213360</xdr:colOff>
                    <xdr:row>3</xdr:row>
                    <xdr:rowOff>365760</xdr:rowOff>
                  </from>
                  <to>
                    <xdr:col>3</xdr:col>
                    <xdr:colOff>518160</xdr:colOff>
                    <xdr:row>5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85F1-99FB-454C-87DE-CA46A9E2F5A2}">
  <sheetPr codeName="Hoja6">
    <tabColor rgb="FF9900FF"/>
  </sheetPr>
  <dimension ref="A1:Q98"/>
  <sheetViews>
    <sheetView showGridLines="0" workbookViewId="0">
      <pane ySplit="1" topLeftCell="A2" activePane="bottomLeft" state="frozen"/>
      <selection pane="bottomLeft" activeCell="H16" sqref="H16"/>
    </sheetView>
  </sheetViews>
  <sheetFormatPr baseColWidth="10" defaultColWidth="9.109375" defaultRowHeight="14.4" x14ac:dyDescent="0.3"/>
  <cols>
    <col min="1" max="1" width="8.5546875" style="11" customWidth="1"/>
    <col min="2" max="2" width="14.33203125" style="12" customWidth="1"/>
    <col min="3" max="3" width="15.109375" style="12" customWidth="1"/>
    <col min="4" max="4" width="9.109375" style="13"/>
    <col min="5" max="5" width="11.5546875" style="12" bestFit="1" customWidth="1"/>
    <col min="6" max="6" width="11.109375" style="13" customWidth="1"/>
    <col min="7" max="9" width="15.5546875" style="12" bestFit="1" customWidth="1"/>
    <col min="10" max="10" width="9.33203125" style="13" customWidth="1"/>
    <col min="11" max="11" width="25.5546875" style="12" customWidth="1"/>
    <col min="12" max="12" width="13.88671875" style="13" bestFit="1" customWidth="1"/>
    <col min="13" max="13" width="15" style="12" customWidth="1"/>
    <col min="14" max="14" width="76.88671875" style="12" bestFit="1" customWidth="1"/>
    <col min="15" max="15" width="34.44140625" style="12" bestFit="1" customWidth="1"/>
    <col min="16" max="16" width="25.6640625" style="13" bestFit="1" customWidth="1"/>
    <col min="17" max="17" width="26.44140625" style="12" bestFit="1" customWidth="1"/>
    <col min="18" max="16384" width="9.109375" style="12"/>
  </cols>
  <sheetData>
    <row r="1" spans="1:17" s="20" customFormat="1" ht="33.75" customHeight="1" thickBot="1" x14ac:dyDescent="0.35">
      <c r="A1" s="21" t="s">
        <v>4</v>
      </c>
      <c r="B1" s="21" t="s">
        <v>2</v>
      </c>
      <c r="C1" s="21" t="s">
        <v>3</v>
      </c>
      <c r="D1" s="22" t="s">
        <v>0</v>
      </c>
      <c r="E1" s="22" t="s">
        <v>5</v>
      </c>
      <c r="F1" s="22" t="s">
        <v>6</v>
      </c>
      <c r="G1" s="23" t="s">
        <v>9</v>
      </c>
      <c r="H1" s="23" t="s">
        <v>10</v>
      </c>
      <c r="I1" s="21" t="s">
        <v>11</v>
      </c>
      <c r="J1" s="21" t="s">
        <v>12</v>
      </c>
      <c r="K1" s="22" t="s">
        <v>13</v>
      </c>
      <c r="L1" s="22" t="s">
        <v>18</v>
      </c>
      <c r="M1" s="21" t="s">
        <v>16</v>
      </c>
      <c r="N1" s="21" t="s">
        <v>17</v>
      </c>
      <c r="O1" s="22" t="s">
        <v>23</v>
      </c>
      <c r="P1" s="22" t="s">
        <v>24</v>
      </c>
      <c r="Q1" s="22" t="s">
        <v>25</v>
      </c>
    </row>
    <row r="2" spans="1:17" s="16" customFormat="1" x14ac:dyDescent="0.3">
      <c r="A2" s="15">
        <v>5870</v>
      </c>
      <c r="B2" s="16" t="s">
        <v>56</v>
      </c>
      <c r="C2" s="16" t="s">
        <v>57</v>
      </c>
      <c r="D2" s="17" t="s">
        <v>7</v>
      </c>
      <c r="E2" s="18">
        <v>45600</v>
      </c>
      <c r="F2" s="17">
        <v>377</v>
      </c>
      <c r="G2" s="19">
        <v>33838.46</v>
      </c>
      <c r="H2" s="19">
        <v>31577.43</v>
      </c>
      <c r="I2" s="19">
        <v>2261.0300000000002</v>
      </c>
      <c r="J2" s="17" t="s">
        <v>8</v>
      </c>
      <c r="K2" s="16" t="s">
        <v>58</v>
      </c>
      <c r="L2" s="17" t="s">
        <v>19</v>
      </c>
      <c r="M2" s="16" t="s">
        <v>38</v>
      </c>
      <c r="N2" s="16" t="s">
        <v>118</v>
      </c>
      <c r="O2" t="s">
        <v>59</v>
      </c>
      <c r="P2" t="s">
        <v>60</v>
      </c>
      <c r="Q2" s="29" t="s">
        <v>61</v>
      </c>
    </row>
    <row r="3" spans="1:17" s="4" customFormat="1" x14ac:dyDescent="0.3">
      <c r="A3" s="3">
        <v>5485</v>
      </c>
      <c r="B3" s="16" t="s">
        <v>56</v>
      </c>
      <c r="C3" s="16" t="s">
        <v>57</v>
      </c>
      <c r="D3" s="5" t="s">
        <v>28</v>
      </c>
      <c r="E3" s="6">
        <v>45548</v>
      </c>
      <c r="F3" s="5">
        <v>0</v>
      </c>
      <c r="G3" s="7">
        <v>26013</v>
      </c>
      <c r="H3" s="7">
        <v>23965.9</v>
      </c>
      <c r="I3" s="19">
        <f>G3-H3</f>
        <v>2047.0999999999985</v>
      </c>
      <c r="J3" s="17" t="s">
        <v>8</v>
      </c>
      <c r="K3" s="4" t="s">
        <v>71</v>
      </c>
      <c r="L3" s="5" t="s">
        <v>19</v>
      </c>
      <c r="M3" s="16" t="s">
        <v>38</v>
      </c>
      <c r="N3" s="16" t="s">
        <v>118</v>
      </c>
      <c r="O3" t="s">
        <v>59</v>
      </c>
      <c r="P3" t="s">
        <v>60</v>
      </c>
      <c r="Q3" t="s">
        <v>61</v>
      </c>
    </row>
    <row r="4" spans="1:17" s="4" customFormat="1" x14ac:dyDescent="0.3">
      <c r="A4" s="3">
        <v>7817</v>
      </c>
      <c r="B4" s="4" t="s">
        <v>56</v>
      </c>
      <c r="C4" s="4" t="s">
        <v>62</v>
      </c>
      <c r="D4" s="5" t="s">
        <v>28</v>
      </c>
      <c r="E4" s="6">
        <v>45880</v>
      </c>
      <c r="F4" s="5">
        <v>0</v>
      </c>
      <c r="G4" s="7">
        <v>11834.35</v>
      </c>
      <c r="H4" s="7">
        <v>9808.89</v>
      </c>
      <c r="I4" s="19">
        <f t="shared" ref="I4:I10" si="0">G4-H4</f>
        <v>2025.4600000000009</v>
      </c>
      <c r="J4" s="17" t="s">
        <v>8</v>
      </c>
      <c r="K4" s="4" t="s">
        <v>71</v>
      </c>
      <c r="L4" s="5" t="s">
        <v>19</v>
      </c>
      <c r="M4" s="4" t="s">
        <v>21</v>
      </c>
      <c r="N4" s="4" t="s">
        <v>99</v>
      </c>
      <c r="P4" s="5"/>
    </row>
    <row r="5" spans="1:17" s="4" customFormat="1" x14ac:dyDescent="0.3">
      <c r="A5" s="3">
        <v>8595</v>
      </c>
      <c r="B5" s="4" t="s">
        <v>161</v>
      </c>
      <c r="C5" s="4" t="s">
        <v>162</v>
      </c>
      <c r="D5" s="5" t="s">
        <v>7</v>
      </c>
      <c r="E5" s="6">
        <v>45995</v>
      </c>
      <c r="F5" s="5">
        <v>0</v>
      </c>
      <c r="G5" s="7">
        <v>121166.68</v>
      </c>
      <c r="H5" s="7">
        <v>60583.34</v>
      </c>
      <c r="I5" s="19">
        <f>G5-H5</f>
        <v>60583.34</v>
      </c>
      <c r="J5" s="17" t="s">
        <v>8</v>
      </c>
      <c r="K5" s="4" t="s">
        <v>163</v>
      </c>
      <c r="L5" s="5" t="s">
        <v>20</v>
      </c>
      <c r="M5" s="4" t="s">
        <v>35</v>
      </c>
      <c r="N5" s="4" t="s">
        <v>54</v>
      </c>
      <c r="P5" s="5"/>
    </row>
    <row r="6" spans="1:17" s="4" customFormat="1" x14ac:dyDescent="0.3">
      <c r="A6" s="3">
        <v>6592</v>
      </c>
      <c r="B6" s="4" t="s">
        <v>63</v>
      </c>
      <c r="C6" s="4" t="s">
        <v>65</v>
      </c>
      <c r="D6" s="5" t="s">
        <v>28</v>
      </c>
      <c r="E6" s="6">
        <v>45699</v>
      </c>
      <c r="F6" s="5">
        <v>0</v>
      </c>
      <c r="G6" s="7">
        <v>8926.9699999999993</v>
      </c>
      <c r="H6" s="7">
        <v>5356.11</v>
      </c>
      <c r="I6" s="19">
        <f t="shared" si="0"/>
        <v>3570.8599999999997</v>
      </c>
      <c r="J6" s="17" t="s">
        <v>8</v>
      </c>
      <c r="K6" s="4" t="s">
        <v>29</v>
      </c>
      <c r="L6" s="5" t="s">
        <v>20</v>
      </c>
      <c r="M6" s="4" t="s">
        <v>38</v>
      </c>
      <c r="N6" s="4" t="s">
        <v>31</v>
      </c>
      <c r="P6" s="5"/>
      <c r="Q6" s="26"/>
    </row>
    <row r="7" spans="1:17" s="4" customFormat="1" x14ac:dyDescent="0.3">
      <c r="A7" s="3">
        <v>8154</v>
      </c>
      <c r="B7" s="4" t="s">
        <v>63</v>
      </c>
      <c r="C7" s="4" t="s">
        <v>63</v>
      </c>
      <c r="D7" s="5" t="s">
        <v>28</v>
      </c>
      <c r="E7" s="6">
        <v>45930</v>
      </c>
      <c r="F7" s="5">
        <v>0</v>
      </c>
      <c r="G7" s="7">
        <v>2909.67</v>
      </c>
      <c r="H7" s="7">
        <v>0</v>
      </c>
      <c r="I7" s="19">
        <f t="shared" si="0"/>
        <v>2909.67</v>
      </c>
      <c r="J7" s="17" t="s">
        <v>8</v>
      </c>
      <c r="K7" s="4" t="s">
        <v>69</v>
      </c>
      <c r="L7" s="5" t="s">
        <v>20</v>
      </c>
      <c r="M7" s="4" t="s">
        <v>68</v>
      </c>
      <c r="N7" t="s">
        <v>119</v>
      </c>
      <c r="P7" s="5"/>
      <c r="Q7" s="9"/>
    </row>
    <row r="8" spans="1:17" s="4" customFormat="1" x14ac:dyDescent="0.3">
      <c r="A8" s="3">
        <v>8446</v>
      </c>
      <c r="B8" s="4" t="s">
        <v>63</v>
      </c>
      <c r="C8" s="4" t="s">
        <v>66</v>
      </c>
      <c r="D8" s="5" t="s">
        <v>7</v>
      </c>
      <c r="E8" s="6">
        <v>45975</v>
      </c>
      <c r="F8" s="5">
        <v>0</v>
      </c>
      <c r="G8" s="7">
        <v>47021.1</v>
      </c>
      <c r="H8" s="7">
        <v>28212.66</v>
      </c>
      <c r="I8" s="19">
        <f t="shared" si="0"/>
        <v>18808.439999999999</v>
      </c>
      <c r="J8" s="17" t="s">
        <v>8</v>
      </c>
      <c r="K8" s="4" t="s">
        <v>70</v>
      </c>
      <c r="L8" s="5" t="s">
        <v>20</v>
      </c>
      <c r="M8" s="4" t="s">
        <v>35</v>
      </c>
      <c r="N8" s="4" t="s">
        <v>54</v>
      </c>
      <c r="P8" s="5"/>
    </row>
    <row r="9" spans="1:17" s="4" customFormat="1" x14ac:dyDescent="0.3">
      <c r="A9" s="3">
        <v>8409</v>
      </c>
      <c r="B9" s="4" t="s">
        <v>101</v>
      </c>
      <c r="C9" s="4" t="s">
        <v>100</v>
      </c>
      <c r="D9" s="5" t="s">
        <v>28</v>
      </c>
      <c r="E9" s="6">
        <v>45971</v>
      </c>
      <c r="F9" s="5">
        <v>0</v>
      </c>
      <c r="G9" s="7">
        <v>20718.41</v>
      </c>
      <c r="H9" s="7">
        <v>13397</v>
      </c>
      <c r="I9" s="19">
        <f>G9-H9</f>
        <v>7321.41</v>
      </c>
      <c r="J9" s="17" t="s">
        <v>8</v>
      </c>
      <c r="K9" s="4" t="s">
        <v>102</v>
      </c>
      <c r="L9" s="5" t="s">
        <v>20</v>
      </c>
      <c r="M9" s="4" t="s">
        <v>22</v>
      </c>
      <c r="N9" s="4" t="s">
        <v>164</v>
      </c>
      <c r="P9" s="5"/>
    </row>
    <row r="10" spans="1:17" s="4" customFormat="1" x14ac:dyDescent="0.3">
      <c r="A10" s="3">
        <v>7611</v>
      </c>
      <c r="B10" s="4" t="s">
        <v>64</v>
      </c>
      <c r="C10" s="4" t="s">
        <v>67</v>
      </c>
      <c r="D10" s="5" t="s">
        <v>28</v>
      </c>
      <c r="E10" s="6">
        <v>45848</v>
      </c>
      <c r="F10" s="5">
        <v>0</v>
      </c>
      <c r="G10" s="7">
        <v>16641.96</v>
      </c>
      <c r="H10" s="7">
        <v>8168.25</v>
      </c>
      <c r="I10" s="19">
        <f t="shared" si="0"/>
        <v>8473.7099999999991</v>
      </c>
      <c r="J10" s="17" t="s">
        <v>8</v>
      </c>
      <c r="K10" s="4" t="s">
        <v>46</v>
      </c>
      <c r="L10" s="5" t="s">
        <v>19</v>
      </c>
      <c r="M10" s="4" t="s">
        <v>38</v>
      </c>
      <c r="N10" s="4" t="s">
        <v>120</v>
      </c>
      <c r="P10" s="5"/>
      <c r="Q10" s="8"/>
    </row>
    <row r="11" spans="1:17" s="4" customFormat="1" x14ac:dyDescent="0.3">
      <c r="A11" s="3"/>
      <c r="D11" s="5"/>
      <c r="E11" s="6"/>
      <c r="F11" s="5"/>
      <c r="G11" s="7"/>
      <c r="H11" s="7"/>
      <c r="I11" s="19"/>
      <c r="J11" s="17"/>
      <c r="L11" s="5"/>
      <c r="P11" s="5"/>
    </row>
    <row r="12" spans="1:17" s="4" customFormat="1" x14ac:dyDescent="0.3">
      <c r="A12" s="3"/>
      <c r="D12" s="5"/>
      <c r="E12" s="6"/>
      <c r="F12" s="5"/>
      <c r="G12" s="7"/>
      <c r="H12" s="7"/>
      <c r="I12" s="19"/>
      <c r="J12" s="17"/>
      <c r="L12" s="5"/>
      <c r="P12" s="5"/>
    </row>
    <row r="13" spans="1:17" s="4" customFormat="1" x14ac:dyDescent="0.3">
      <c r="A13" s="3"/>
      <c r="D13" s="5"/>
      <c r="E13" s="6"/>
      <c r="F13" s="5"/>
      <c r="G13" s="7"/>
      <c r="H13" s="7"/>
      <c r="I13" s="7"/>
      <c r="J13" s="5"/>
      <c r="L13" s="5"/>
      <c r="P13" s="5"/>
      <c r="Q13" s="9"/>
    </row>
    <row r="14" spans="1:17" s="4" customFormat="1" x14ac:dyDescent="0.3">
      <c r="A14" s="3"/>
      <c r="D14" s="5"/>
      <c r="E14" s="6"/>
      <c r="F14" s="5"/>
      <c r="G14" s="7"/>
      <c r="H14" s="7"/>
      <c r="I14" s="7"/>
      <c r="J14" s="5"/>
      <c r="L14" s="5"/>
      <c r="P14" s="5"/>
      <c r="Q14" s="9"/>
    </row>
    <row r="15" spans="1:17" s="4" customFormat="1" x14ac:dyDescent="0.3">
      <c r="A15" s="3"/>
      <c r="D15" s="5"/>
      <c r="E15" s="6"/>
      <c r="F15" s="5"/>
      <c r="G15" s="7"/>
      <c r="H15" s="7"/>
      <c r="I15" s="7"/>
      <c r="J15" s="5"/>
      <c r="L15" s="5"/>
      <c r="P15" s="5"/>
      <c r="Q15" s="9"/>
    </row>
    <row r="16" spans="1:17" s="4" customFormat="1" x14ac:dyDescent="0.3">
      <c r="A16" s="3"/>
      <c r="D16" s="5"/>
      <c r="E16" s="6"/>
      <c r="F16" s="5"/>
      <c r="G16" s="7"/>
      <c r="H16" s="7"/>
      <c r="I16" s="7"/>
      <c r="J16" s="5"/>
      <c r="L16" s="5"/>
      <c r="P16" s="5"/>
      <c r="Q16" s="10"/>
    </row>
    <row r="17" spans="1:17" s="4" customFormat="1" x14ac:dyDescent="0.3">
      <c r="A17" s="3"/>
      <c r="D17" s="5"/>
      <c r="E17" s="6"/>
      <c r="F17" s="5"/>
      <c r="G17" s="7"/>
      <c r="H17" s="7"/>
      <c r="I17" s="7"/>
      <c r="J17" s="5"/>
      <c r="L17" s="5"/>
      <c r="P17" s="5"/>
      <c r="Q17" s="10"/>
    </row>
    <row r="18" spans="1:17" s="4" customFormat="1" x14ac:dyDescent="0.3">
      <c r="A18" s="3"/>
      <c r="D18" s="5"/>
      <c r="E18" s="6"/>
      <c r="F18" s="5"/>
      <c r="G18" s="7"/>
      <c r="H18" s="7"/>
      <c r="I18" s="7"/>
      <c r="J18" s="5"/>
      <c r="L18" s="5"/>
      <c r="P18" s="5"/>
    </row>
    <row r="19" spans="1:17" s="4" customFormat="1" x14ac:dyDescent="0.3">
      <c r="A19" s="3"/>
      <c r="D19" s="5"/>
      <c r="E19" s="6"/>
      <c r="F19" s="5"/>
      <c r="G19" s="7"/>
      <c r="H19" s="7"/>
      <c r="I19" s="7"/>
      <c r="J19" s="5"/>
      <c r="L19" s="5"/>
      <c r="P19" s="5"/>
      <c r="Q19" s="9"/>
    </row>
    <row r="20" spans="1:17" s="4" customFormat="1" x14ac:dyDescent="0.3">
      <c r="A20" s="3"/>
      <c r="D20" s="5"/>
      <c r="E20" s="6"/>
      <c r="F20" s="5"/>
      <c r="G20" s="7"/>
      <c r="H20" s="7"/>
      <c r="I20" s="7"/>
      <c r="J20" s="5"/>
      <c r="L20" s="5"/>
      <c r="P20" s="5"/>
      <c r="Q20" s="9"/>
    </row>
    <row r="21" spans="1:17" s="4" customFormat="1" x14ac:dyDescent="0.3">
      <c r="A21" s="3"/>
      <c r="D21" s="5"/>
      <c r="E21" s="6"/>
      <c r="F21" s="5"/>
      <c r="G21" s="7"/>
      <c r="H21" s="7"/>
      <c r="I21" s="7"/>
      <c r="J21" s="5"/>
      <c r="L21" s="5"/>
      <c r="P21" s="5"/>
      <c r="Q21" s="9"/>
    </row>
    <row r="22" spans="1:17" s="4" customFormat="1" x14ac:dyDescent="0.3">
      <c r="A22" s="3"/>
      <c r="D22" s="5"/>
      <c r="E22" s="6"/>
      <c r="F22" s="5"/>
      <c r="G22" s="7"/>
      <c r="H22" s="7"/>
      <c r="I22" s="7"/>
      <c r="J22" s="5"/>
      <c r="L22" s="5"/>
      <c r="P22" s="5"/>
      <c r="Q22" s="9"/>
    </row>
    <row r="23" spans="1:17" s="4" customFormat="1" x14ac:dyDescent="0.3">
      <c r="A23" s="3"/>
      <c r="D23" s="5"/>
      <c r="E23" s="6"/>
      <c r="F23" s="5"/>
      <c r="G23" s="7"/>
      <c r="H23" s="7"/>
      <c r="I23" s="7"/>
      <c r="J23" s="5"/>
      <c r="L23" s="5"/>
      <c r="P23" s="5"/>
      <c r="Q23" s="9"/>
    </row>
    <row r="24" spans="1:17" s="4" customFormat="1" x14ac:dyDescent="0.3">
      <c r="A24" s="3"/>
      <c r="D24" s="5"/>
      <c r="E24" s="6"/>
      <c r="F24" s="5"/>
      <c r="G24" s="7"/>
      <c r="H24" s="7"/>
      <c r="I24" s="7"/>
      <c r="J24" s="5"/>
      <c r="L24" s="5"/>
      <c r="P24" s="5"/>
      <c r="Q24" s="9"/>
    </row>
    <row r="25" spans="1:17" s="4" customFormat="1" x14ac:dyDescent="0.3">
      <c r="A25" s="3"/>
      <c r="D25" s="5"/>
      <c r="E25" s="6"/>
      <c r="F25" s="5"/>
      <c r="G25" s="7"/>
      <c r="H25" s="7"/>
      <c r="I25" s="7"/>
      <c r="J25" s="5"/>
      <c r="L25" s="5"/>
      <c r="P25" s="5"/>
      <c r="Q25" s="9"/>
    </row>
    <row r="26" spans="1:17" s="4" customFormat="1" x14ac:dyDescent="0.3">
      <c r="A26" s="3"/>
      <c r="D26" s="5"/>
      <c r="E26" s="6"/>
      <c r="F26" s="5"/>
      <c r="G26" s="7"/>
      <c r="H26" s="7"/>
      <c r="I26" s="7"/>
      <c r="J26" s="5"/>
      <c r="L26" s="5"/>
      <c r="P26" s="5"/>
      <c r="Q26" s="9"/>
    </row>
    <row r="27" spans="1:17" s="4" customFormat="1" x14ac:dyDescent="0.3">
      <c r="A27" s="3"/>
      <c r="D27" s="5"/>
      <c r="E27" s="6"/>
      <c r="F27" s="5"/>
      <c r="G27" s="7"/>
      <c r="H27" s="7"/>
      <c r="I27" s="7"/>
      <c r="J27" s="5"/>
      <c r="L27" s="5"/>
      <c r="P27" s="5"/>
      <c r="Q27" s="9"/>
    </row>
    <row r="28" spans="1:17" s="4" customFormat="1" x14ac:dyDescent="0.3">
      <c r="A28" s="3"/>
      <c r="D28" s="5"/>
      <c r="E28" s="6"/>
      <c r="F28" s="5"/>
      <c r="G28" s="7"/>
      <c r="H28" s="7"/>
      <c r="I28" s="7"/>
      <c r="J28" s="5"/>
      <c r="L28" s="5"/>
      <c r="P28" s="5"/>
      <c r="Q28" s="9"/>
    </row>
    <row r="29" spans="1:17" s="4" customFormat="1" x14ac:dyDescent="0.3">
      <c r="A29" s="3"/>
      <c r="D29" s="5"/>
      <c r="E29" s="6"/>
      <c r="F29" s="5"/>
      <c r="G29" s="7"/>
      <c r="H29" s="7"/>
      <c r="I29" s="7"/>
      <c r="J29" s="5"/>
      <c r="L29" s="5"/>
      <c r="P29" s="5"/>
    </row>
    <row r="30" spans="1:17" s="4" customFormat="1" x14ac:dyDescent="0.3">
      <c r="A30" s="3"/>
      <c r="D30" s="5"/>
      <c r="E30" s="6"/>
      <c r="F30" s="5"/>
      <c r="G30" s="7"/>
      <c r="H30" s="7"/>
      <c r="I30" s="7"/>
      <c r="J30" s="5"/>
      <c r="L30" s="5"/>
      <c r="P30" s="5"/>
    </row>
    <row r="31" spans="1:17" s="4" customFormat="1" x14ac:dyDescent="0.3">
      <c r="A31" s="3"/>
      <c r="D31" s="5"/>
      <c r="E31" s="6"/>
      <c r="F31" s="5"/>
      <c r="G31" s="7"/>
      <c r="H31" s="7"/>
      <c r="I31" s="7"/>
      <c r="J31" s="5"/>
      <c r="L31" s="5"/>
      <c r="P31" s="5"/>
    </row>
    <row r="32" spans="1:17" s="4" customFormat="1" x14ac:dyDescent="0.3">
      <c r="A32" s="3"/>
      <c r="D32" s="5"/>
      <c r="E32" s="6"/>
      <c r="F32" s="5"/>
      <c r="G32" s="7"/>
      <c r="H32" s="7"/>
      <c r="I32" s="7"/>
      <c r="J32" s="5"/>
      <c r="L32" s="5"/>
      <c r="P32" s="5"/>
    </row>
    <row r="33" spans="1:16" s="4" customFormat="1" x14ac:dyDescent="0.3">
      <c r="A33" s="3"/>
      <c r="D33" s="5"/>
      <c r="E33" s="6"/>
      <c r="F33" s="5"/>
      <c r="G33" s="7"/>
      <c r="H33" s="7"/>
      <c r="I33" s="7"/>
      <c r="J33" s="5"/>
      <c r="L33" s="5"/>
      <c r="P33" s="5"/>
    </row>
    <row r="34" spans="1:16" x14ac:dyDescent="0.3">
      <c r="G34" s="14"/>
      <c r="H34" s="14"/>
      <c r="I34" s="14"/>
    </row>
    <row r="35" spans="1:16" x14ac:dyDescent="0.3">
      <c r="G35" s="14"/>
      <c r="H35" s="14"/>
      <c r="I35" s="14"/>
    </row>
    <row r="36" spans="1:16" x14ac:dyDescent="0.3">
      <c r="G36" s="14"/>
      <c r="H36" s="14"/>
      <c r="I36" s="14"/>
    </row>
    <row r="37" spans="1:16" x14ac:dyDescent="0.3">
      <c r="G37" s="14"/>
      <c r="H37" s="14"/>
      <c r="I37" s="14"/>
    </row>
    <row r="38" spans="1:16" x14ac:dyDescent="0.3">
      <c r="G38" s="14"/>
      <c r="H38" s="14"/>
      <c r="I38" s="14"/>
    </row>
    <row r="39" spans="1:16" x14ac:dyDescent="0.3">
      <c r="G39" s="14"/>
      <c r="H39" s="14"/>
      <c r="I39" s="14"/>
    </row>
    <row r="40" spans="1:16" x14ac:dyDescent="0.3">
      <c r="G40" s="14"/>
      <c r="H40" s="14"/>
      <c r="I40" s="14"/>
    </row>
    <row r="41" spans="1:16" x14ac:dyDescent="0.3">
      <c r="G41" s="14"/>
      <c r="H41" s="14"/>
      <c r="I41" s="14"/>
    </row>
    <row r="42" spans="1:16" x14ac:dyDescent="0.3">
      <c r="G42" s="14"/>
      <c r="H42" s="14"/>
      <c r="I42" s="14"/>
    </row>
    <row r="43" spans="1:16" x14ac:dyDescent="0.3">
      <c r="G43" s="14"/>
      <c r="H43" s="14"/>
      <c r="I43" s="14"/>
    </row>
    <row r="44" spans="1:16" x14ac:dyDescent="0.3">
      <c r="G44" s="14"/>
      <c r="H44" s="14"/>
      <c r="I44" s="14"/>
    </row>
    <row r="45" spans="1:16" x14ac:dyDescent="0.3">
      <c r="G45" s="14"/>
      <c r="H45" s="14"/>
      <c r="I45" s="14"/>
    </row>
    <row r="46" spans="1:16" x14ac:dyDescent="0.3">
      <c r="G46" s="14"/>
      <c r="H46" s="14"/>
      <c r="I46" s="14"/>
    </row>
    <row r="47" spans="1:16" x14ac:dyDescent="0.3">
      <c r="G47" s="14"/>
      <c r="H47" s="14"/>
      <c r="I47" s="14"/>
    </row>
    <row r="48" spans="1:16" x14ac:dyDescent="0.3">
      <c r="G48" s="14"/>
      <c r="H48" s="14"/>
      <c r="I48" s="14"/>
    </row>
    <row r="49" spans="7:9" x14ac:dyDescent="0.3">
      <c r="G49" s="14"/>
      <c r="H49" s="14"/>
      <c r="I49" s="14"/>
    </row>
    <row r="50" spans="7:9" x14ac:dyDescent="0.3">
      <c r="G50" s="14"/>
      <c r="H50" s="14"/>
      <c r="I50" s="14"/>
    </row>
    <row r="51" spans="7:9" x14ac:dyDescent="0.3">
      <c r="G51" s="14"/>
      <c r="H51" s="14"/>
      <c r="I51" s="14"/>
    </row>
    <row r="52" spans="7:9" x14ac:dyDescent="0.3">
      <c r="G52" s="14"/>
      <c r="H52" s="14"/>
      <c r="I52" s="14"/>
    </row>
    <row r="53" spans="7:9" x14ac:dyDescent="0.3">
      <c r="G53" s="14"/>
      <c r="H53" s="14"/>
      <c r="I53" s="14"/>
    </row>
    <row r="54" spans="7:9" x14ac:dyDescent="0.3">
      <c r="G54" s="14"/>
      <c r="H54" s="14"/>
      <c r="I54" s="14"/>
    </row>
    <row r="55" spans="7:9" x14ac:dyDescent="0.3">
      <c r="G55" s="14"/>
      <c r="H55" s="14"/>
      <c r="I55" s="14"/>
    </row>
    <row r="56" spans="7:9" x14ac:dyDescent="0.3">
      <c r="G56" s="14"/>
      <c r="H56" s="14"/>
      <c r="I56" s="14"/>
    </row>
    <row r="57" spans="7:9" x14ac:dyDescent="0.3">
      <c r="G57" s="14"/>
      <c r="H57" s="14"/>
      <c r="I57" s="14"/>
    </row>
    <row r="58" spans="7:9" x14ac:dyDescent="0.3">
      <c r="G58" s="14"/>
      <c r="H58" s="14"/>
      <c r="I58" s="14"/>
    </row>
    <row r="59" spans="7:9" x14ac:dyDescent="0.3">
      <c r="G59" s="14"/>
      <c r="H59" s="14"/>
      <c r="I59" s="14"/>
    </row>
    <row r="60" spans="7:9" x14ac:dyDescent="0.3">
      <c r="G60" s="14"/>
      <c r="H60" s="14"/>
      <c r="I60" s="14"/>
    </row>
    <row r="61" spans="7:9" x14ac:dyDescent="0.3">
      <c r="G61" s="14"/>
      <c r="H61" s="14"/>
      <c r="I61" s="14"/>
    </row>
    <row r="62" spans="7:9" x14ac:dyDescent="0.3">
      <c r="G62" s="14"/>
      <c r="H62" s="14"/>
      <c r="I62" s="14"/>
    </row>
    <row r="63" spans="7:9" x14ac:dyDescent="0.3">
      <c r="G63" s="14"/>
      <c r="H63" s="14"/>
      <c r="I63" s="14"/>
    </row>
    <row r="64" spans="7:9" x14ac:dyDescent="0.3">
      <c r="G64" s="14"/>
      <c r="H64" s="14"/>
      <c r="I64" s="14"/>
    </row>
    <row r="65" spans="7:9" x14ac:dyDescent="0.3">
      <c r="G65" s="14"/>
      <c r="H65" s="14"/>
      <c r="I65" s="14"/>
    </row>
    <row r="66" spans="7:9" x14ac:dyDescent="0.3">
      <c r="G66" s="14"/>
      <c r="H66" s="14"/>
      <c r="I66" s="14"/>
    </row>
    <row r="67" spans="7:9" x14ac:dyDescent="0.3">
      <c r="G67" s="14"/>
      <c r="H67" s="14"/>
      <c r="I67" s="14"/>
    </row>
    <row r="68" spans="7:9" x14ac:dyDescent="0.3">
      <c r="G68" s="14"/>
      <c r="H68" s="14"/>
      <c r="I68" s="14"/>
    </row>
    <row r="69" spans="7:9" x14ac:dyDescent="0.3">
      <c r="G69" s="14"/>
      <c r="H69" s="14"/>
      <c r="I69" s="14"/>
    </row>
    <row r="70" spans="7:9" x14ac:dyDescent="0.3">
      <c r="G70" s="14"/>
      <c r="H70" s="14"/>
      <c r="I70" s="14"/>
    </row>
    <row r="71" spans="7:9" x14ac:dyDescent="0.3">
      <c r="G71" s="14"/>
      <c r="H71" s="14"/>
      <c r="I71" s="14"/>
    </row>
    <row r="72" spans="7:9" x14ac:dyDescent="0.3">
      <c r="G72" s="14"/>
      <c r="H72" s="14"/>
      <c r="I72" s="14"/>
    </row>
    <row r="73" spans="7:9" x14ac:dyDescent="0.3">
      <c r="G73" s="14"/>
      <c r="H73" s="14"/>
      <c r="I73" s="14"/>
    </row>
    <row r="74" spans="7:9" x14ac:dyDescent="0.3">
      <c r="G74" s="14"/>
      <c r="H74" s="14"/>
      <c r="I74" s="14"/>
    </row>
    <row r="75" spans="7:9" x14ac:dyDescent="0.3">
      <c r="G75" s="14"/>
      <c r="H75" s="14"/>
      <c r="I75" s="14"/>
    </row>
    <row r="76" spans="7:9" x14ac:dyDescent="0.3">
      <c r="G76" s="14"/>
      <c r="H76" s="14"/>
      <c r="I76" s="14"/>
    </row>
    <row r="77" spans="7:9" x14ac:dyDescent="0.3">
      <c r="G77" s="14"/>
      <c r="H77" s="14"/>
      <c r="I77" s="14"/>
    </row>
    <row r="78" spans="7:9" x14ac:dyDescent="0.3">
      <c r="G78" s="14"/>
      <c r="H78" s="14"/>
      <c r="I78" s="14"/>
    </row>
    <row r="79" spans="7:9" x14ac:dyDescent="0.3">
      <c r="G79" s="14"/>
      <c r="H79" s="14"/>
      <c r="I79" s="14"/>
    </row>
    <row r="80" spans="7:9" x14ac:dyDescent="0.3">
      <c r="G80" s="14"/>
      <c r="H80" s="14"/>
      <c r="I80" s="14"/>
    </row>
    <row r="81" spans="7:9" x14ac:dyDescent="0.3">
      <c r="G81" s="14"/>
      <c r="H81" s="14"/>
      <c r="I81" s="14"/>
    </row>
    <row r="82" spans="7:9" x14ac:dyDescent="0.3">
      <c r="G82" s="14"/>
      <c r="H82" s="14"/>
      <c r="I82" s="14"/>
    </row>
    <row r="83" spans="7:9" x14ac:dyDescent="0.3">
      <c r="G83" s="14"/>
      <c r="H83" s="14"/>
      <c r="I83" s="14"/>
    </row>
    <row r="84" spans="7:9" x14ac:dyDescent="0.3">
      <c r="G84" s="14"/>
      <c r="H84" s="14"/>
      <c r="I84" s="14"/>
    </row>
    <row r="85" spans="7:9" x14ac:dyDescent="0.3">
      <c r="G85" s="14"/>
      <c r="H85" s="14"/>
      <c r="I85" s="14"/>
    </row>
    <row r="86" spans="7:9" x14ac:dyDescent="0.3">
      <c r="G86" s="14"/>
      <c r="H86" s="14"/>
      <c r="I86" s="14"/>
    </row>
    <row r="87" spans="7:9" x14ac:dyDescent="0.3">
      <c r="G87" s="14"/>
      <c r="H87" s="14"/>
      <c r="I87" s="14"/>
    </row>
    <row r="88" spans="7:9" x14ac:dyDescent="0.3">
      <c r="G88" s="14"/>
      <c r="H88" s="14"/>
      <c r="I88" s="14"/>
    </row>
    <row r="89" spans="7:9" x14ac:dyDescent="0.3">
      <c r="G89" s="14"/>
      <c r="H89" s="14"/>
      <c r="I89" s="14"/>
    </row>
    <row r="90" spans="7:9" x14ac:dyDescent="0.3">
      <c r="G90" s="14"/>
      <c r="H90" s="14"/>
      <c r="I90" s="14"/>
    </row>
    <row r="91" spans="7:9" x14ac:dyDescent="0.3">
      <c r="G91" s="14"/>
      <c r="H91" s="14"/>
      <c r="I91" s="14"/>
    </row>
    <row r="92" spans="7:9" x14ac:dyDescent="0.3">
      <c r="G92" s="14"/>
      <c r="H92" s="14"/>
      <c r="I92" s="14"/>
    </row>
    <row r="93" spans="7:9" x14ac:dyDescent="0.3">
      <c r="G93" s="14"/>
      <c r="H93" s="14"/>
      <c r="I93" s="14"/>
    </row>
    <row r="94" spans="7:9" x14ac:dyDescent="0.3">
      <c r="G94" s="14"/>
      <c r="H94" s="14"/>
      <c r="I94" s="14"/>
    </row>
    <row r="95" spans="7:9" x14ac:dyDescent="0.3">
      <c r="G95" s="14"/>
      <c r="H95" s="14"/>
      <c r="I95" s="14"/>
    </row>
    <row r="96" spans="7:9" x14ac:dyDescent="0.3">
      <c r="G96" s="14"/>
      <c r="H96" s="14"/>
      <c r="I96" s="14"/>
    </row>
    <row r="97" spans="7:9" x14ac:dyDescent="0.3">
      <c r="G97" s="14"/>
      <c r="H97" s="14"/>
      <c r="I97" s="14"/>
    </row>
    <row r="98" spans="7:9" x14ac:dyDescent="0.3">
      <c r="G98" s="14"/>
      <c r="H98" s="14"/>
      <c r="I98" s="14"/>
    </row>
  </sheetData>
  <conditionalFormatting sqref="F2:F1048576">
    <cfRule type="cellIs" dxfId="29" priority="1" operator="between">
      <formula>15</formula>
      <formula>2000</formula>
    </cfRule>
    <cfRule type="cellIs" dxfId="28" priority="2" operator="between">
      <formula>6</formula>
      <formula>15</formula>
    </cfRule>
    <cfRule type="cellIs" dxfId="27" priority="3" operator="between">
      <formula>0</formula>
      <formula>5</formula>
    </cfRule>
  </conditionalFormatting>
  <conditionalFormatting sqref="L2:L1048576">
    <cfRule type="containsText" dxfId="26" priority="9" operator="containsText" text="PENDIENTE">
      <formula>NOT(ISERROR(SEARCH("PENDIENTE",L2)))</formula>
    </cfRule>
    <cfRule type="containsText" dxfId="25" priority="10" operator="containsText" text="ENTREGADO">
      <formula>NOT(ISERROR(SEARCH("ENTREGADO",L2)))</formula>
    </cfRule>
  </conditionalFormatting>
  <conditionalFormatting sqref="M2:M1048576">
    <cfRule type="containsText" dxfId="24" priority="4" operator="containsText" text="AJUSTE">
      <formula>NOT(ISERROR(SEARCH("AJUSTE",M2)))</formula>
    </cfRule>
    <cfRule type="containsText" dxfId="23" priority="5" operator="containsText" text="TEMA CLIENTE">
      <formula>NOT(ISERROR(SEARCH("TEMA CLIENTE",M2)))</formula>
    </cfRule>
    <cfRule type="containsText" dxfId="22" priority="6" operator="containsText" text="TRÁNSITO">
      <formula>NOT(ISERROR(SEARCH("TRÁNSITO",M2)))</formula>
    </cfRule>
    <cfRule type="containsText" dxfId="21" priority="7" operator="containsText" text="POR COBRAR">
      <formula>NOT(ISERROR(SEARCH("POR COBRAR",M2)))</formula>
    </cfRule>
    <cfRule type="containsText" dxfId="20" priority="8" operator="containsText" text="COBRABLE">
      <formula>NOT(ISERROR(SEARCH("COBRABLE",M2)))</formula>
    </cfRule>
  </conditionalFormatting>
  <hyperlinks>
    <hyperlink ref="Q2" r:id="rId1" xr:uid="{5155C90A-1EF3-4F41-8F1B-0AB26A7D380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5C17-DCD2-445D-859D-3EC2B7E61D1F}">
  <sheetPr codeName="Hoja7">
    <tabColor rgb="FFFF0066"/>
  </sheetPr>
  <dimension ref="A1:Q104857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9.109375" defaultRowHeight="14.4" x14ac:dyDescent="0.3"/>
  <cols>
    <col min="1" max="1" width="8.5546875" style="11" customWidth="1"/>
    <col min="2" max="2" width="19.44140625" style="12" customWidth="1"/>
    <col min="3" max="3" width="15.109375" style="12" customWidth="1"/>
    <col min="4" max="4" width="9.109375" style="13"/>
    <col min="5" max="5" width="11.5546875" style="12" bestFit="1" customWidth="1"/>
    <col min="6" max="6" width="11.109375" style="13" customWidth="1"/>
    <col min="7" max="9" width="15.5546875" style="12" bestFit="1" customWidth="1"/>
    <col min="10" max="10" width="10.6640625" style="13" customWidth="1"/>
    <col min="11" max="11" width="28.88671875" style="12" bestFit="1" customWidth="1"/>
    <col min="12" max="12" width="13.88671875" style="13" bestFit="1" customWidth="1"/>
    <col min="13" max="13" width="15" style="12" customWidth="1"/>
    <col min="14" max="14" width="76.88671875" style="12" bestFit="1" customWidth="1"/>
    <col min="15" max="15" width="34.44140625" style="12" bestFit="1" customWidth="1"/>
    <col min="16" max="16" width="25.6640625" style="13" bestFit="1" customWidth="1"/>
    <col min="17" max="17" width="26.44140625" style="12" bestFit="1" customWidth="1"/>
    <col min="18" max="16384" width="9.109375" style="12"/>
  </cols>
  <sheetData>
    <row r="1" spans="1:17" s="20" customFormat="1" ht="33.75" customHeight="1" thickBot="1" x14ac:dyDescent="0.35">
      <c r="A1" s="21" t="s">
        <v>4</v>
      </c>
      <c r="B1" s="21" t="s">
        <v>2</v>
      </c>
      <c r="C1" s="21" t="s">
        <v>3</v>
      </c>
      <c r="D1" s="22" t="s">
        <v>0</v>
      </c>
      <c r="E1" s="22" t="s">
        <v>5</v>
      </c>
      <c r="F1" s="22" t="s">
        <v>6</v>
      </c>
      <c r="G1" s="23" t="s">
        <v>9</v>
      </c>
      <c r="H1" s="23" t="s">
        <v>10</v>
      </c>
      <c r="I1" s="21" t="s">
        <v>11</v>
      </c>
      <c r="J1" s="21" t="s">
        <v>12</v>
      </c>
      <c r="K1" s="22" t="s">
        <v>13</v>
      </c>
      <c r="L1" s="22" t="s">
        <v>18</v>
      </c>
      <c r="M1" s="21" t="s">
        <v>16</v>
      </c>
      <c r="N1" s="21" t="s">
        <v>17</v>
      </c>
      <c r="O1" s="22" t="s">
        <v>23</v>
      </c>
      <c r="P1" s="22" t="s">
        <v>24</v>
      </c>
      <c r="Q1" s="22" t="s">
        <v>25</v>
      </c>
    </row>
    <row r="2" spans="1:17" s="4" customFormat="1" x14ac:dyDescent="0.3">
      <c r="A2" s="3">
        <v>8599</v>
      </c>
      <c r="B2" s="4" t="s">
        <v>81</v>
      </c>
      <c r="C2" s="4" t="s">
        <v>86</v>
      </c>
      <c r="D2" s="5" t="s">
        <v>7</v>
      </c>
      <c r="E2" s="6">
        <v>45995</v>
      </c>
      <c r="F2" s="5">
        <v>0</v>
      </c>
      <c r="G2" s="7">
        <v>1023.7</v>
      </c>
      <c r="H2" s="7">
        <v>0</v>
      </c>
      <c r="I2" s="7">
        <f>G2-H2</f>
        <v>1023.7</v>
      </c>
      <c r="J2" s="17" t="s">
        <v>8</v>
      </c>
      <c r="K2" s="4" t="s">
        <v>90</v>
      </c>
      <c r="L2" s="5" t="s">
        <v>20</v>
      </c>
      <c r="M2" s="4" t="s">
        <v>22</v>
      </c>
      <c r="N2" s="4" t="s">
        <v>172</v>
      </c>
      <c r="P2" s="5"/>
      <c r="Q2" s="26"/>
    </row>
    <row r="3" spans="1:17" s="4" customFormat="1" x14ac:dyDescent="0.3">
      <c r="A3" s="3">
        <v>8079</v>
      </c>
      <c r="B3" s="4" t="s">
        <v>75</v>
      </c>
      <c r="C3" s="4" t="s">
        <v>76</v>
      </c>
      <c r="D3" s="5" t="s">
        <v>28</v>
      </c>
      <c r="E3" s="6">
        <v>45923</v>
      </c>
      <c r="F3" s="5">
        <v>0</v>
      </c>
      <c r="G3" s="7">
        <v>105217.12</v>
      </c>
      <c r="H3" s="7">
        <v>73651.98</v>
      </c>
      <c r="I3" s="7">
        <f>G3-H3</f>
        <v>31565.14</v>
      </c>
      <c r="J3" s="17" t="s">
        <v>8</v>
      </c>
      <c r="K3" s="4" t="s">
        <v>30</v>
      </c>
      <c r="L3" s="5" t="s">
        <v>20</v>
      </c>
      <c r="M3" s="4" t="s">
        <v>22</v>
      </c>
      <c r="N3" s="4" t="s">
        <v>103</v>
      </c>
      <c r="O3" s="4" t="s">
        <v>77</v>
      </c>
      <c r="P3" s="5">
        <v>8111253672</v>
      </c>
      <c r="Q3" s="9"/>
    </row>
    <row r="4" spans="1:17" s="4" customFormat="1" x14ac:dyDescent="0.3">
      <c r="A4" s="3">
        <v>8557</v>
      </c>
      <c r="B4" s="4" t="s">
        <v>72</v>
      </c>
      <c r="C4" s="4" t="s">
        <v>73</v>
      </c>
      <c r="D4" s="5" t="s">
        <v>28</v>
      </c>
      <c r="E4" s="6">
        <v>45989</v>
      </c>
      <c r="F4" s="5">
        <v>0</v>
      </c>
      <c r="G4" s="7">
        <v>5666.43</v>
      </c>
      <c r="H4" s="7">
        <v>3966.33</v>
      </c>
      <c r="I4" s="7">
        <f>G4-H4</f>
        <v>1700.1000000000004</v>
      </c>
      <c r="J4" s="17" t="s">
        <v>8</v>
      </c>
      <c r="K4" s="4" t="s">
        <v>30</v>
      </c>
      <c r="L4" s="5" t="s">
        <v>20</v>
      </c>
      <c r="M4" s="4" t="s">
        <v>22</v>
      </c>
      <c r="N4" s="4" t="s">
        <v>104</v>
      </c>
      <c r="O4" s="1" t="s">
        <v>74</v>
      </c>
      <c r="P4" s="5">
        <v>8111028943</v>
      </c>
      <c r="Q4" s="26"/>
    </row>
    <row r="5" spans="1:17" s="4" customFormat="1" x14ac:dyDescent="0.3">
      <c r="A5" s="3">
        <v>8528</v>
      </c>
      <c r="B5" s="4" t="s">
        <v>78</v>
      </c>
      <c r="C5" s="4" t="s">
        <v>82</v>
      </c>
      <c r="D5" s="5" t="s">
        <v>7</v>
      </c>
      <c r="E5" s="6">
        <v>45987</v>
      </c>
      <c r="F5" s="5">
        <v>0</v>
      </c>
      <c r="G5" s="7">
        <v>34104</v>
      </c>
      <c r="H5" s="7">
        <v>23872.799999999999</v>
      </c>
      <c r="I5" s="7">
        <f t="shared" ref="I5:I18" si="0">G5-H5</f>
        <v>10231.200000000001</v>
      </c>
      <c r="J5" s="17" t="s">
        <v>8</v>
      </c>
      <c r="K5" s="4" t="s">
        <v>14</v>
      </c>
      <c r="L5" s="5" t="s">
        <v>20</v>
      </c>
      <c r="M5" s="4" t="s">
        <v>35</v>
      </c>
      <c r="N5" s="4" t="s">
        <v>87</v>
      </c>
      <c r="P5" s="5"/>
      <c r="Q5" s="9"/>
    </row>
    <row r="6" spans="1:17" s="4" customFormat="1" x14ac:dyDescent="0.3">
      <c r="A6" s="3">
        <v>8567</v>
      </c>
      <c r="B6" s="4" t="s">
        <v>79</v>
      </c>
      <c r="C6" s="4" t="s">
        <v>83</v>
      </c>
      <c r="D6" s="5" t="s">
        <v>7</v>
      </c>
      <c r="E6" s="6">
        <v>45992</v>
      </c>
      <c r="F6" s="5">
        <v>0</v>
      </c>
      <c r="G6" s="7">
        <v>13685.07</v>
      </c>
      <c r="H6" s="7">
        <v>9455.02</v>
      </c>
      <c r="I6" s="7">
        <f t="shared" si="0"/>
        <v>4230.0499999999993</v>
      </c>
      <c r="J6" s="17" t="s">
        <v>8</v>
      </c>
      <c r="K6" s="4" t="s">
        <v>88</v>
      </c>
      <c r="L6" s="5" t="s">
        <v>20</v>
      </c>
      <c r="M6" s="4" t="s">
        <v>35</v>
      </c>
      <c r="N6" s="4" t="s">
        <v>87</v>
      </c>
      <c r="P6" s="5"/>
    </row>
    <row r="7" spans="1:17" s="4" customFormat="1" x14ac:dyDescent="0.3">
      <c r="A7" s="3">
        <v>8549</v>
      </c>
      <c r="B7" s="4" t="s">
        <v>80</v>
      </c>
      <c r="C7" s="4" t="s">
        <v>84</v>
      </c>
      <c r="D7" s="5" t="s">
        <v>7</v>
      </c>
      <c r="E7" s="6">
        <v>45989</v>
      </c>
      <c r="F7" s="5">
        <v>0</v>
      </c>
      <c r="G7" s="7">
        <v>51143.3</v>
      </c>
      <c r="H7" s="7">
        <v>25599.42</v>
      </c>
      <c r="I7" s="7">
        <f t="shared" si="0"/>
        <v>25543.880000000005</v>
      </c>
      <c r="J7" s="17" t="s">
        <v>8</v>
      </c>
      <c r="K7" s="4" t="s">
        <v>53</v>
      </c>
      <c r="L7" s="5" t="s">
        <v>20</v>
      </c>
      <c r="M7" s="4" t="s">
        <v>35</v>
      </c>
      <c r="N7" s="4" t="s">
        <v>87</v>
      </c>
      <c r="P7" s="5"/>
      <c r="Q7" s="8"/>
    </row>
    <row r="8" spans="1:17" s="4" customFormat="1" x14ac:dyDescent="0.3">
      <c r="A8" s="3">
        <v>8501</v>
      </c>
      <c r="B8" s="4" t="s">
        <v>44</v>
      </c>
      <c r="C8" s="4" t="s">
        <v>85</v>
      </c>
      <c r="D8" s="5" t="s">
        <v>7</v>
      </c>
      <c r="E8" s="6">
        <v>45985</v>
      </c>
      <c r="F8" s="5">
        <v>0</v>
      </c>
      <c r="G8" s="7">
        <v>466621.37</v>
      </c>
      <c r="H8" s="7">
        <v>280202.33</v>
      </c>
      <c r="I8" s="7">
        <f t="shared" si="0"/>
        <v>186419.03999999998</v>
      </c>
      <c r="J8" s="17" t="s">
        <v>8</v>
      </c>
      <c r="K8" s="4" t="s">
        <v>15</v>
      </c>
      <c r="L8" s="5" t="s">
        <v>20</v>
      </c>
      <c r="M8" s="4" t="s">
        <v>35</v>
      </c>
      <c r="N8" s="4" t="s">
        <v>87</v>
      </c>
      <c r="O8" s="4" t="s">
        <v>89</v>
      </c>
      <c r="P8" s="5">
        <v>8183966874</v>
      </c>
    </row>
    <row r="9" spans="1:17" s="4" customFormat="1" x14ac:dyDescent="0.3">
      <c r="A9" s="3">
        <v>8502</v>
      </c>
      <c r="B9" s="4" t="s">
        <v>44</v>
      </c>
      <c r="C9" s="4" t="s">
        <v>85</v>
      </c>
      <c r="D9" s="5" t="s">
        <v>28</v>
      </c>
      <c r="E9" s="6">
        <v>45985</v>
      </c>
      <c r="F9" s="5">
        <v>0</v>
      </c>
      <c r="G9" s="7">
        <v>46171.86</v>
      </c>
      <c r="H9" s="7">
        <v>23085.93</v>
      </c>
      <c r="I9" s="7">
        <f t="shared" si="0"/>
        <v>23085.93</v>
      </c>
      <c r="J9" s="17" t="s">
        <v>8</v>
      </c>
      <c r="K9" s="4" t="s">
        <v>46</v>
      </c>
      <c r="L9" s="5" t="s">
        <v>20</v>
      </c>
      <c r="M9" s="4" t="s">
        <v>35</v>
      </c>
      <c r="N9" s="4" t="s">
        <v>87</v>
      </c>
      <c r="O9" s="4" t="s">
        <v>89</v>
      </c>
      <c r="P9" s="5">
        <v>8183966874</v>
      </c>
    </row>
    <row r="10" spans="1:17" s="4" customFormat="1" x14ac:dyDescent="0.3">
      <c r="A10" s="3">
        <v>8619</v>
      </c>
      <c r="B10" s="4" t="s">
        <v>105</v>
      </c>
      <c r="C10" s="4" t="s">
        <v>106</v>
      </c>
      <c r="D10" s="5" t="s">
        <v>7</v>
      </c>
      <c r="E10" s="6">
        <v>46000</v>
      </c>
      <c r="F10" s="5">
        <v>0</v>
      </c>
      <c r="G10" s="7">
        <v>2877.96</v>
      </c>
      <c r="H10" s="7">
        <v>0</v>
      </c>
      <c r="I10" s="7">
        <f t="shared" si="0"/>
        <v>2877.96</v>
      </c>
      <c r="J10" s="17" t="s">
        <v>8</v>
      </c>
      <c r="K10" s="4" t="s">
        <v>107</v>
      </c>
      <c r="L10" s="5" t="s">
        <v>20</v>
      </c>
      <c r="M10" s="4" t="s">
        <v>35</v>
      </c>
      <c r="N10" s="4" t="s">
        <v>87</v>
      </c>
      <c r="P10" s="5"/>
    </row>
    <row r="11" spans="1:17" s="4" customFormat="1" x14ac:dyDescent="0.3">
      <c r="A11" s="3">
        <v>8562</v>
      </c>
      <c r="B11" s="4" t="s">
        <v>81</v>
      </c>
      <c r="C11" s="4" t="s">
        <v>86</v>
      </c>
      <c r="D11" s="5" t="s">
        <v>7</v>
      </c>
      <c r="E11" s="6">
        <v>45989</v>
      </c>
      <c r="F11" s="5">
        <v>0</v>
      </c>
      <c r="G11" s="7">
        <v>74494.679999999993</v>
      </c>
      <c r="H11" s="7">
        <v>37913.96</v>
      </c>
      <c r="I11" s="7">
        <f t="shared" si="0"/>
        <v>36580.719999999994</v>
      </c>
      <c r="J11" s="17" t="s">
        <v>8</v>
      </c>
      <c r="K11" s="4" t="s">
        <v>15</v>
      </c>
      <c r="L11" s="5" t="s">
        <v>20</v>
      </c>
      <c r="M11" s="4" t="s">
        <v>35</v>
      </c>
      <c r="N11" s="4" t="s">
        <v>87</v>
      </c>
      <c r="P11" s="5"/>
      <c r="Q11" s="9"/>
    </row>
    <row r="12" spans="1:17" s="4" customFormat="1" x14ac:dyDescent="0.3">
      <c r="A12" s="3">
        <v>8583</v>
      </c>
      <c r="B12" s="4" t="s">
        <v>81</v>
      </c>
      <c r="C12" s="4" t="s">
        <v>86</v>
      </c>
      <c r="D12" s="5" t="s">
        <v>7</v>
      </c>
      <c r="E12" s="6">
        <v>45993</v>
      </c>
      <c r="F12" s="5">
        <v>0</v>
      </c>
      <c r="G12" s="7">
        <v>54132.91</v>
      </c>
      <c r="H12" s="7">
        <v>0</v>
      </c>
      <c r="I12" s="7">
        <f t="shared" si="0"/>
        <v>54132.91</v>
      </c>
      <c r="J12" s="17" t="s">
        <v>8</v>
      </c>
      <c r="K12" s="4" t="s">
        <v>53</v>
      </c>
      <c r="L12" s="5" t="s">
        <v>20</v>
      </c>
      <c r="M12" s="4" t="s">
        <v>35</v>
      </c>
      <c r="N12" s="4" t="s">
        <v>87</v>
      </c>
      <c r="P12" s="5"/>
      <c r="Q12" s="9"/>
    </row>
    <row r="13" spans="1:17" s="4" customFormat="1" x14ac:dyDescent="0.3">
      <c r="A13" s="3">
        <v>8582</v>
      </c>
      <c r="B13" s="4" t="s">
        <v>81</v>
      </c>
      <c r="C13" s="4" t="s">
        <v>86</v>
      </c>
      <c r="D13" s="5" t="s">
        <v>7</v>
      </c>
      <c r="E13" s="6">
        <v>45993</v>
      </c>
      <c r="F13" s="5">
        <v>0</v>
      </c>
      <c r="G13" s="7">
        <v>38541.67</v>
      </c>
      <c r="H13" s="7">
        <v>0</v>
      </c>
      <c r="I13" s="7">
        <f t="shared" si="0"/>
        <v>38541.67</v>
      </c>
      <c r="J13" s="17" t="s">
        <v>8</v>
      </c>
      <c r="K13" s="4" t="s">
        <v>53</v>
      </c>
      <c r="L13" s="5" t="s">
        <v>20</v>
      </c>
      <c r="M13" s="4" t="s">
        <v>35</v>
      </c>
      <c r="N13" s="4" t="s">
        <v>87</v>
      </c>
      <c r="P13" s="5"/>
      <c r="Q13" s="9"/>
    </row>
    <row r="14" spans="1:17" s="4" customFormat="1" x14ac:dyDescent="0.3">
      <c r="A14" s="3">
        <v>8529</v>
      </c>
      <c r="B14" s="4" t="s">
        <v>78</v>
      </c>
      <c r="C14" s="4" t="s">
        <v>82</v>
      </c>
      <c r="D14" s="5" t="s">
        <v>7</v>
      </c>
      <c r="E14" s="6">
        <v>45987</v>
      </c>
      <c r="F14" s="5">
        <v>0</v>
      </c>
      <c r="G14" s="7">
        <v>30794.33</v>
      </c>
      <c r="H14" s="7">
        <v>21556.03</v>
      </c>
      <c r="I14" s="7">
        <f t="shared" si="0"/>
        <v>9238.3000000000029</v>
      </c>
      <c r="J14" s="5" t="s">
        <v>26</v>
      </c>
      <c r="K14" s="4" t="s">
        <v>14</v>
      </c>
      <c r="L14" s="5" t="s">
        <v>20</v>
      </c>
      <c r="M14" s="4" t="s">
        <v>35</v>
      </c>
      <c r="N14" s="4" t="s">
        <v>87</v>
      </c>
      <c r="P14" s="5"/>
      <c r="Q14" s="26"/>
    </row>
    <row r="15" spans="1:17" s="4" customFormat="1" x14ac:dyDescent="0.3">
      <c r="A15" s="3">
        <v>8573</v>
      </c>
      <c r="B15" s="4" t="s">
        <v>79</v>
      </c>
      <c r="C15" s="4" t="s">
        <v>83</v>
      </c>
      <c r="D15" s="5" t="s">
        <v>7</v>
      </c>
      <c r="E15" s="6">
        <v>45992</v>
      </c>
      <c r="F15" s="5">
        <v>0</v>
      </c>
      <c r="G15" s="7">
        <v>7238.4</v>
      </c>
      <c r="H15" s="7">
        <v>4956.08</v>
      </c>
      <c r="I15" s="7">
        <f t="shared" si="0"/>
        <v>2282.3199999999997</v>
      </c>
      <c r="J15" s="5" t="s">
        <v>26</v>
      </c>
      <c r="K15" s="4" t="s">
        <v>14</v>
      </c>
      <c r="L15" s="5" t="s">
        <v>20</v>
      </c>
      <c r="M15" s="4" t="s">
        <v>35</v>
      </c>
      <c r="N15" s="4" t="s">
        <v>87</v>
      </c>
      <c r="P15" s="5"/>
    </row>
    <row r="16" spans="1:17" s="4" customFormat="1" x14ac:dyDescent="0.3">
      <c r="A16" s="3">
        <v>8568</v>
      </c>
      <c r="B16" s="4" t="s">
        <v>79</v>
      </c>
      <c r="C16" s="4" t="s">
        <v>83</v>
      </c>
      <c r="D16" s="5" t="s">
        <v>7</v>
      </c>
      <c r="E16" s="6">
        <v>45992</v>
      </c>
      <c r="F16" s="5">
        <v>0</v>
      </c>
      <c r="G16" s="7">
        <v>2588.1</v>
      </c>
      <c r="H16" s="7">
        <v>1785.79</v>
      </c>
      <c r="I16" s="7">
        <f t="shared" si="0"/>
        <v>802.31</v>
      </c>
      <c r="J16" s="5" t="s">
        <v>26</v>
      </c>
      <c r="K16" s="4" t="s">
        <v>88</v>
      </c>
      <c r="L16" s="5" t="s">
        <v>20</v>
      </c>
      <c r="M16" s="4" t="s">
        <v>35</v>
      </c>
      <c r="N16" s="4" t="s">
        <v>93</v>
      </c>
      <c r="P16" s="5"/>
      <c r="Q16" s="9"/>
    </row>
    <row r="17" spans="1:17" s="4" customFormat="1" x14ac:dyDescent="0.3">
      <c r="A17" s="3">
        <v>8581</v>
      </c>
      <c r="B17" s="4" t="s">
        <v>79</v>
      </c>
      <c r="C17" s="4" t="s">
        <v>83</v>
      </c>
      <c r="D17" s="5" t="s">
        <v>7</v>
      </c>
      <c r="E17" s="6">
        <v>45993</v>
      </c>
      <c r="F17" s="5">
        <v>0</v>
      </c>
      <c r="G17" s="7">
        <v>1085.76</v>
      </c>
      <c r="H17" s="7">
        <v>756.56</v>
      </c>
      <c r="I17" s="7">
        <f t="shared" si="0"/>
        <v>329.20000000000005</v>
      </c>
      <c r="J17" s="5" t="s">
        <v>26</v>
      </c>
      <c r="K17" s="4" t="s">
        <v>14</v>
      </c>
      <c r="L17" s="5" t="s">
        <v>20</v>
      </c>
      <c r="M17" s="4" t="s">
        <v>35</v>
      </c>
      <c r="N17" s="4" t="s">
        <v>87</v>
      </c>
      <c r="O17" s="1" t="s">
        <v>94</v>
      </c>
      <c r="P17" s="2">
        <v>8110166267</v>
      </c>
      <c r="Q17" s="9"/>
    </row>
    <row r="18" spans="1:17" s="4" customFormat="1" x14ac:dyDescent="0.3">
      <c r="A18" s="3">
        <v>8401</v>
      </c>
      <c r="B18" s="4" t="s">
        <v>91</v>
      </c>
      <c r="C18" s="4" t="s">
        <v>92</v>
      </c>
      <c r="D18" s="5" t="s">
        <v>7</v>
      </c>
      <c r="E18" s="6">
        <v>45967</v>
      </c>
      <c r="F18" s="5">
        <v>0</v>
      </c>
      <c r="G18" s="7">
        <v>33215.08</v>
      </c>
      <c r="H18" s="7">
        <v>19929.04</v>
      </c>
      <c r="I18" s="7">
        <f t="shared" si="0"/>
        <v>13286.04</v>
      </c>
      <c r="J18" s="5" t="s">
        <v>26</v>
      </c>
      <c r="K18" s="4" t="s">
        <v>48</v>
      </c>
      <c r="L18" s="5" t="s">
        <v>20</v>
      </c>
      <c r="M18" s="4" t="s">
        <v>35</v>
      </c>
      <c r="N18" s="4" t="s">
        <v>87</v>
      </c>
      <c r="P18" s="5"/>
      <c r="Q18" s="9"/>
    </row>
    <row r="19" spans="1:17" s="4" customFormat="1" x14ac:dyDescent="0.3">
      <c r="A19" s="3"/>
      <c r="D19" s="5"/>
      <c r="E19" s="6"/>
      <c r="F19" s="5"/>
      <c r="G19" s="7"/>
      <c r="H19" s="7"/>
      <c r="I19" s="7"/>
      <c r="J19" s="5"/>
      <c r="L19" s="5"/>
      <c r="P19" s="5"/>
      <c r="Q19" s="9"/>
    </row>
    <row r="20" spans="1:17" s="4" customFormat="1" x14ac:dyDescent="0.3">
      <c r="A20" s="3"/>
      <c r="D20" s="5"/>
      <c r="E20" s="6"/>
      <c r="F20" s="5"/>
      <c r="G20" s="7"/>
      <c r="H20" s="7"/>
      <c r="I20" s="7"/>
      <c r="J20" s="5"/>
      <c r="L20" s="5"/>
      <c r="P20" s="5"/>
      <c r="Q20" s="9"/>
    </row>
    <row r="21" spans="1:17" s="4" customFormat="1" x14ac:dyDescent="0.3">
      <c r="A21" s="3"/>
      <c r="D21" s="5"/>
      <c r="E21" s="6"/>
      <c r="F21" s="5"/>
      <c r="G21" s="7"/>
      <c r="H21" s="7"/>
      <c r="I21" s="7"/>
      <c r="J21" s="5"/>
      <c r="L21" s="5"/>
      <c r="P21" s="5"/>
      <c r="Q21" s="9"/>
    </row>
    <row r="22" spans="1:17" s="4" customFormat="1" x14ac:dyDescent="0.3">
      <c r="A22" s="3"/>
      <c r="D22" s="5"/>
      <c r="E22" s="6"/>
      <c r="F22" s="5"/>
      <c r="G22" s="7"/>
      <c r="H22" s="7"/>
      <c r="I22" s="7"/>
      <c r="J22" s="5"/>
      <c r="L22" s="5"/>
      <c r="P22" s="5"/>
      <c r="Q22" s="9"/>
    </row>
    <row r="23" spans="1:17" s="4" customFormat="1" x14ac:dyDescent="0.3">
      <c r="A23" s="3"/>
      <c r="D23" s="5"/>
      <c r="E23" s="6"/>
      <c r="F23" s="5"/>
      <c r="G23" s="7"/>
      <c r="H23" s="7"/>
      <c r="I23" s="7"/>
      <c r="J23" s="5"/>
      <c r="L23" s="5"/>
      <c r="P23" s="5"/>
      <c r="Q23" s="9"/>
    </row>
    <row r="24" spans="1:17" s="4" customFormat="1" x14ac:dyDescent="0.3">
      <c r="A24" s="3"/>
      <c r="D24" s="5"/>
      <c r="E24" s="6"/>
      <c r="F24" s="5"/>
      <c r="G24" s="7"/>
      <c r="H24" s="7"/>
      <c r="I24" s="7"/>
      <c r="J24" s="5"/>
      <c r="L24" s="5"/>
      <c r="P24" s="5"/>
      <c r="Q24" s="9"/>
    </row>
    <row r="25" spans="1:17" s="4" customFormat="1" x14ac:dyDescent="0.3">
      <c r="A25" s="3"/>
      <c r="D25" s="5"/>
      <c r="E25" s="6"/>
      <c r="F25" s="5"/>
      <c r="G25" s="7"/>
      <c r="H25" s="7"/>
      <c r="I25" s="7"/>
      <c r="J25" s="5"/>
      <c r="L25" s="5"/>
      <c r="P25" s="5"/>
      <c r="Q25" s="9"/>
    </row>
    <row r="26" spans="1:17" s="4" customFormat="1" x14ac:dyDescent="0.3">
      <c r="A26" s="3"/>
      <c r="D26" s="5"/>
      <c r="E26" s="6"/>
      <c r="F26" s="5"/>
      <c r="G26" s="7"/>
      <c r="H26" s="7"/>
      <c r="I26" s="7"/>
      <c r="J26" s="5"/>
      <c r="L26" s="5"/>
      <c r="P26" s="5"/>
    </row>
    <row r="27" spans="1:17" s="4" customFormat="1" x14ac:dyDescent="0.3">
      <c r="A27" s="3"/>
      <c r="D27" s="5"/>
      <c r="E27" s="6"/>
      <c r="F27" s="5"/>
      <c r="G27" s="7"/>
      <c r="H27" s="7"/>
      <c r="I27" s="7"/>
      <c r="J27" s="5"/>
      <c r="L27" s="5"/>
      <c r="P27" s="5"/>
    </row>
    <row r="28" spans="1:17" s="4" customFormat="1" x14ac:dyDescent="0.3">
      <c r="A28" s="3"/>
      <c r="D28" s="5"/>
      <c r="E28" s="6"/>
      <c r="F28" s="5"/>
      <c r="G28" s="7"/>
      <c r="H28" s="7"/>
      <c r="I28" s="7"/>
      <c r="J28" s="5"/>
      <c r="L28" s="5"/>
      <c r="P28" s="5"/>
    </row>
    <row r="29" spans="1:17" s="4" customFormat="1" x14ac:dyDescent="0.3">
      <c r="A29" s="3"/>
      <c r="D29" s="5"/>
      <c r="E29" s="6"/>
      <c r="F29" s="5"/>
      <c r="G29" s="7"/>
      <c r="H29" s="7"/>
      <c r="I29" s="7"/>
      <c r="J29" s="5"/>
      <c r="L29" s="5"/>
      <c r="P29" s="5"/>
    </row>
    <row r="30" spans="1:17" s="4" customFormat="1" x14ac:dyDescent="0.3">
      <c r="A30" s="3"/>
      <c r="D30" s="5"/>
      <c r="E30" s="6"/>
      <c r="F30" s="5"/>
      <c r="G30" s="7"/>
      <c r="H30" s="7"/>
      <c r="I30" s="7"/>
      <c r="J30" s="5"/>
      <c r="L30" s="5"/>
      <c r="P30" s="5"/>
    </row>
    <row r="31" spans="1:17" x14ac:dyDescent="0.3">
      <c r="G31" s="14"/>
      <c r="H31" s="14"/>
      <c r="I31" s="14"/>
    </row>
    <row r="32" spans="1:17" x14ac:dyDescent="0.3">
      <c r="G32" s="14"/>
      <c r="H32" s="14"/>
      <c r="I32" s="14"/>
    </row>
    <row r="33" spans="7:9" x14ac:dyDescent="0.3">
      <c r="G33" s="14"/>
      <c r="H33" s="14"/>
      <c r="I33" s="14"/>
    </row>
    <row r="34" spans="7:9" x14ac:dyDescent="0.3">
      <c r="G34" s="14"/>
      <c r="H34" s="14"/>
      <c r="I34" s="14"/>
    </row>
    <row r="35" spans="7:9" x14ac:dyDescent="0.3">
      <c r="G35" s="14"/>
      <c r="H35" s="14"/>
      <c r="I35" s="14"/>
    </row>
    <row r="36" spans="7:9" x14ac:dyDescent="0.3">
      <c r="G36" s="14"/>
      <c r="H36" s="14"/>
      <c r="I36" s="14"/>
    </row>
    <row r="37" spans="7:9" x14ac:dyDescent="0.3">
      <c r="G37" s="14"/>
      <c r="H37" s="14"/>
      <c r="I37" s="14"/>
    </row>
    <row r="38" spans="7:9" x14ac:dyDescent="0.3">
      <c r="G38" s="14"/>
      <c r="H38" s="14"/>
      <c r="I38" s="14"/>
    </row>
    <row r="39" spans="7:9" x14ac:dyDescent="0.3">
      <c r="G39" s="14"/>
      <c r="H39" s="14"/>
      <c r="I39" s="14"/>
    </row>
    <row r="40" spans="7:9" x14ac:dyDescent="0.3">
      <c r="G40" s="14"/>
      <c r="H40" s="14"/>
      <c r="I40" s="14"/>
    </row>
    <row r="41" spans="7:9" x14ac:dyDescent="0.3">
      <c r="G41" s="14"/>
      <c r="H41" s="14"/>
      <c r="I41" s="14"/>
    </row>
    <row r="42" spans="7:9" x14ac:dyDescent="0.3">
      <c r="G42" s="14"/>
      <c r="H42" s="14"/>
      <c r="I42" s="14"/>
    </row>
    <row r="43" spans="7:9" x14ac:dyDescent="0.3">
      <c r="G43" s="14"/>
      <c r="H43" s="14"/>
      <c r="I43" s="14"/>
    </row>
    <row r="44" spans="7:9" x14ac:dyDescent="0.3">
      <c r="G44" s="14"/>
      <c r="H44" s="14"/>
      <c r="I44" s="14"/>
    </row>
    <row r="45" spans="7:9" x14ac:dyDescent="0.3">
      <c r="G45" s="14"/>
      <c r="H45" s="14"/>
      <c r="I45" s="14"/>
    </row>
    <row r="46" spans="7:9" x14ac:dyDescent="0.3">
      <c r="G46" s="14"/>
      <c r="H46" s="14"/>
      <c r="I46" s="14"/>
    </row>
    <row r="47" spans="7:9" x14ac:dyDescent="0.3">
      <c r="G47" s="14"/>
      <c r="H47" s="14"/>
      <c r="I47" s="14"/>
    </row>
    <row r="48" spans="7:9" x14ac:dyDescent="0.3">
      <c r="G48" s="14"/>
      <c r="H48" s="14"/>
      <c r="I48" s="14"/>
    </row>
    <row r="49" spans="7:9" x14ac:dyDescent="0.3">
      <c r="G49" s="14"/>
      <c r="H49" s="14"/>
      <c r="I49" s="14"/>
    </row>
    <row r="50" spans="7:9" x14ac:dyDescent="0.3">
      <c r="G50" s="14"/>
      <c r="H50" s="14"/>
      <c r="I50" s="14"/>
    </row>
    <row r="51" spans="7:9" x14ac:dyDescent="0.3">
      <c r="G51" s="14"/>
      <c r="H51" s="14"/>
      <c r="I51" s="14"/>
    </row>
    <row r="52" spans="7:9" x14ac:dyDescent="0.3">
      <c r="G52" s="14"/>
      <c r="H52" s="14"/>
      <c r="I52" s="14"/>
    </row>
    <row r="53" spans="7:9" x14ac:dyDescent="0.3">
      <c r="G53" s="14"/>
      <c r="H53" s="14"/>
      <c r="I53" s="14"/>
    </row>
    <row r="54" spans="7:9" x14ac:dyDescent="0.3">
      <c r="G54" s="14"/>
      <c r="H54" s="14"/>
      <c r="I54" s="14"/>
    </row>
    <row r="55" spans="7:9" x14ac:dyDescent="0.3">
      <c r="G55" s="14"/>
      <c r="H55" s="14"/>
      <c r="I55" s="14"/>
    </row>
    <row r="56" spans="7:9" x14ac:dyDescent="0.3">
      <c r="G56" s="14"/>
      <c r="H56" s="14"/>
      <c r="I56" s="14"/>
    </row>
    <row r="57" spans="7:9" x14ac:dyDescent="0.3">
      <c r="G57" s="14"/>
      <c r="H57" s="14"/>
      <c r="I57" s="14"/>
    </row>
    <row r="58" spans="7:9" x14ac:dyDescent="0.3">
      <c r="G58" s="14"/>
      <c r="H58" s="14"/>
      <c r="I58" s="14"/>
    </row>
    <row r="59" spans="7:9" x14ac:dyDescent="0.3">
      <c r="G59" s="14"/>
      <c r="H59" s="14"/>
      <c r="I59" s="14"/>
    </row>
    <row r="60" spans="7:9" x14ac:dyDescent="0.3">
      <c r="G60" s="14"/>
      <c r="H60" s="14"/>
      <c r="I60" s="14"/>
    </row>
    <row r="61" spans="7:9" x14ac:dyDescent="0.3">
      <c r="G61" s="14"/>
      <c r="H61" s="14"/>
      <c r="I61" s="14"/>
    </row>
    <row r="62" spans="7:9" x14ac:dyDescent="0.3">
      <c r="G62" s="14"/>
      <c r="H62" s="14"/>
      <c r="I62" s="14"/>
    </row>
    <row r="63" spans="7:9" x14ac:dyDescent="0.3">
      <c r="G63" s="14"/>
      <c r="H63" s="14"/>
      <c r="I63" s="14"/>
    </row>
    <row r="64" spans="7:9" x14ac:dyDescent="0.3">
      <c r="G64" s="14"/>
      <c r="H64" s="14"/>
      <c r="I64" s="14"/>
    </row>
    <row r="65" spans="7:9" x14ac:dyDescent="0.3">
      <c r="G65" s="14"/>
      <c r="H65" s="14"/>
      <c r="I65" s="14"/>
    </row>
    <row r="66" spans="7:9" x14ac:dyDescent="0.3">
      <c r="G66" s="14"/>
      <c r="H66" s="14"/>
      <c r="I66" s="14"/>
    </row>
    <row r="67" spans="7:9" x14ac:dyDescent="0.3">
      <c r="G67" s="14"/>
      <c r="H67" s="14"/>
      <c r="I67" s="14"/>
    </row>
    <row r="68" spans="7:9" x14ac:dyDescent="0.3">
      <c r="G68" s="14"/>
      <c r="H68" s="14"/>
      <c r="I68" s="14"/>
    </row>
    <row r="69" spans="7:9" x14ac:dyDescent="0.3">
      <c r="G69" s="14"/>
      <c r="H69" s="14"/>
      <c r="I69" s="14"/>
    </row>
    <row r="70" spans="7:9" x14ac:dyDescent="0.3">
      <c r="G70" s="14"/>
      <c r="H70" s="14"/>
      <c r="I70" s="14"/>
    </row>
    <row r="71" spans="7:9" x14ac:dyDescent="0.3">
      <c r="G71" s="14"/>
      <c r="H71" s="14"/>
      <c r="I71" s="14"/>
    </row>
    <row r="72" spans="7:9" x14ac:dyDescent="0.3">
      <c r="G72" s="14"/>
      <c r="H72" s="14"/>
      <c r="I72" s="14"/>
    </row>
    <row r="73" spans="7:9" x14ac:dyDescent="0.3">
      <c r="G73" s="14"/>
      <c r="H73" s="14"/>
      <c r="I73" s="14"/>
    </row>
    <row r="74" spans="7:9" x14ac:dyDescent="0.3">
      <c r="G74" s="14"/>
      <c r="H74" s="14"/>
      <c r="I74" s="14"/>
    </row>
    <row r="75" spans="7:9" x14ac:dyDescent="0.3">
      <c r="G75" s="14"/>
      <c r="H75" s="14"/>
      <c r="I75" s="14"/>
    </row>
    <row r="76" spans="7:9" x14ac:dyDescent="0.3">
      <c r="G76" s="14"/>
      <c r="H76" s="14"/>
      <c r="I76" s="14"/>
    </row>
    <row r="77" spans="7:9" x14ac:dyDescent="0.3">
      <c r="G77" s="14"/>
      <c r="H77" s="14"/>
      <c r="I77" s="14"/>
    </row>
    <row r="78" spans="7:9" x14ac:dyDescent="0.3">
      <c r="G78" s="14"/>
      <c r="H78" s="14"/>
      <c r="I78" s="14"/>
    </row>
    <row r="79" spans="7:9" x14ac:dyDescent="0.3">
      <c r="G79" s="14"/>
      <c r="H79" s="14"/>
      <c r="I79" s="14"/>
    </row>
    <row r="80" spans="7:9" x14ac:dyDescent="0.3">
      <c r="G80" s="14"/>
      <c r="H80" s="14"/>
      <c r="I80" s="14"/>
    </row>
    <row r="81" spans="7:9" x14ac:dyDescent="0.3">
      <c r="G81" s="14"/>
      <c r="H81" s="14"/>
      <c r="I81" s="14"/>
    </row>
    <row r="82" spans="7:9" x14ac:dyDescent="0.3">
      <c r="G82" s="14"/>
      <c r="H82" s="14"/>
      <c r="I82" s="14"/>
    </row>
    <row r="83" spans="7:9" x14ac:dyDescent="0.3">
      <c r="G83" s="14"/>
      <c r="H83" s="14"/>
      <c r="I83" s="14"/>
    </row>
    <row r="84" spans="7:9" x14ac:dyDescent="0.3">
      <c r="G84" s="14"/>
      <c r="H84" s="14"/>
      <c r="I84" s="14"/>
    </row>
    <row r="85" spans="7:9" x14ac:dyDescent="0.3">
      <c r="G85" s="14"/>
      <c r="H85" s="14"/>
      <c r="I85" s="14"/>
    </row>
    <row r="86" spans="7:9" x14ac:dyDescent="0.3">
      <c r="G86" s="14"/>
      <c r="H86" s="14"/>
      <c r="I86" s="14"/>
    </row>
    <row r="87" spans="7:9" x14ac:dyDescent="0.3">
      <c r="G87" s="14"/>
      <c r="H87" s="14"/>
      <c r="I87" s="14"/>
    </row>
    <row r="88" spans="7:9" x14ac:dyDescent="0.3">
      <c r="G88" s="14"/>
      <c r="H88" s="14"/>
      <c r="I88" s="14"/>
    </row>
    <row r="89" spans="7:9" x14ac:dyDescent="0.3">
      <c r="G89" s="14"/>
      <c r="H89" s="14"/>
      <c r="I89" s="14"/>
    </row>
    <row r="90" spans="7:9" x14ac:dyDescent="0.3">
      <c r="G90" s="14"/>
      <c r="H90" s="14"/>
      <c r="I90" s="14"/>
    </row>
    <row r="91" spans="7:9" x14ac:dyDescent="0.3">
      <c r="G91" s="14"/>
      <c r="H91" s="14"/>
      <c r="I91" s="14"/>
    </row>
    <row r="92" spans="7:9" x14ac:dyDescent="0.3">
      <c r="G92" s="14"/>
      <c r="H92" s="14"/>
      <c r="I92" s="14"/>
    </row>
    <row r="93" spans="7:9" x14ac:dyDescent="0.3">
      <c r="G93" s="14"/>
      <c r="H93" s="14"/>
      <c r="I93" s="14"/>
    </row>
    <row r="94" spans="7:9" x14ac:dyDescent="0.3">
      <c r="G94" s="14"/>
      <c r="H94" s="14"/>
      <c r="I94" s="14"/>
    </row>
    <row r="95" spans="7:9" x14ac:dyDescent="0.3">
      <c r="G95" s="14"/>
      <c r="H95" s="14"/>
      <c r="I95" s="14"/>
    </row>
    <row r="1048575" spans="14:14" x14ac:dyDescent="0.3">
      <c r="N1048575" s="4"/>
    </row>
  </sheetData>
  <autoFilter ref="A1:Q18" xr:uid="{33BD5C17-DCD2-445D-859D-3EC2B7E61D1F}"/>
  <conditionalFormatting sqref="F2:F1048576">
    <cfRule type="cellIs" dxfId="19" priority="1" operator="between">
      <formula>15</formula>
      <formula>2000</formula>
    </cfRule>
    <cfRule type="cellIs" dxfId="18" priority="2" operator="between">
      <formula>6</formula>
      <formula>15</formula>
    </cfRule>
    <cfRule type="cellIs" dxfId="17" priority="3" operator="between">
      <formula>0</formula>
      <formula>5</formula>
    </cfRule>
  </conditionalFormatting>
  <conditionalFormatting sqref="L2:L1048576">
    <cfRule type="containsText" dxfId="16" priority="9" operator="containsText" text="PENDIENTE">
      <formula>NOT(ISERROR(SEARCH("PENDIENTE",L2)))</formula>
    </cfRule>
    <cfRule type="containsText" dxfId="15" priority="10" operator="containsText" text="ENTREGADO">
      <formula>NOT(ISERROR(SEARCH("ENTREGADO",L2)))</formula>
    </cfRule>
  </conditionalFormatting>
  <conditionalFormatting sqref="M2:M1048576">
    <cfRule type="containsText" dxfId="14" priority="4" operator="containsText" text="AJUSTE">
      <formula>NOT(ISERROR(SEARCH("AJUSTE",M2)))</formula>
    </cfRule>
    <cfRule type="containsText" dxfId="13" priority="5" operator="containsText" text="TEMA CLIENTE">
      <formula>NOT(ISERROR(SEARCH("TEMA CLIENTE",M2)))</formula>
    </cfRule>
    <cfRule type="containsText" dxfId="12" priority="6" operator="containsText" text="TRÁNSITO">
      <formula>NOT(ISERROR(SEARCH("TRÁNSITO",M2)))</formula>
    </cfRule>
    <cfRule type="containsText" dxfId="11" priority="7" operator="containsText" text="POR COBRAR">
      <formula>NOT(ISERROR(SEARCH("POR COBRAR",M2)))</formula>
    </cfRule>
    <cfRule type="containsText" dxfId="10" priority="8" operator="containsText" text="COBRABLE">
      <formula>NOT(ISERROR(SEARCH("COBRABLE",M2)))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B1E9-E75E-4371-A3D6-DF690F700984}">
  <sheetPr codeName="Hoja3">
    <tabColor rgb="FF0070C0"/>
  </sheetPr>
  <dimension ref="A1:Q94"/>
  <sheetViews>
    <sheetView showGridLines="0" zoomScale="90" zoomScaleNormal="90" workbookViewId="0">
      <pane ySplit="1" topLeftCell="A2" activePane="bottomLeft" state="frozen"/>
      <selection pane="bottomLeft" activeCell="D14" sqref="D14"/>
    </sheetView>
  </sheetViews>
  <sheetFormatPr baseColWidth="10" defaultColWidth="9.109375" defaultRowHeight="14.4" x14ac:dyDescent="0.3"/>
  <cols>
    <col min="1" max="1" width="8.5546875" style="11" customWidth="1"/>
    <col min="2" max="2" width="23.88671875" style="12" customWidth="1"/>
    <col min="3" max="3" width="15.109375" style="12" customWidth="1"/>
    <col min="4" max="4" width="9.109375" style="13"/>
    <col min="5" max="5" width="11.5546875" style="12" bestFit="1" customWidth="1"/>
    <col min="6" max="6" width="11.109375" style="13" customWidth="1"/>
    <col min="7" max="9" width="15.5546875" style="12" bestFit="1" customWidth="1"/>
    <col min="10" max="10" width="10.6640625" style="13" customWidth="1"/>
    <col min="11" max="11" width="28.88671875" style="12" bestFit="1" customWidth="1"/>
    <col min="12" max="12" width="13.88671875" style="13" bestFit="1" customWidth="1"/>
    <col min="13" max="13" width="15" style="12" customWidth="1"/>
    <col min="14" max="14" width="76.88671875" style="12" bestFit="1" customWidth="1"/>
    <col min="15" max="15" width="34.44140625" style="12" bestFit="1" customWidth="1"/>
    <col min="16" max="16" width="25.6640625" style="13" bestFit="1" customWidth="1"/>
    <col min="17" max="17" width="26.44140625" style="12" bestFit="1" customWidth="1"/>
    <col min="18" max="16384" width="9.109375" style="12"/>
  </cols>
  <sheetData>
    <row r="1" spans="1:17" s="20" customFormat="1" ht="33.75" customHeight="1" thickBot="1" x14ac:dyDescent="0.35">
      <c r="A1" s="21" t="s">
        <v>4</v>
      </c>
      <c r="B1" s="21" t="s">
        <v>2</v>
      </c>
      <c r="C1" s="21" t="s">
        <v>3</v>
      </c>
      <c r="D1" s="22" t="s">
        <v>0</v>
      </c>
      <c r="E1" s="22" t="s">
        <v>5</v>
      </c>
      <c r="F1" s="22" t="s">
        <v>6</v>
      </c>
      <c r="G1" s="23" t="s">
        <v>9</v>
      </c>
      <c r="H1" s="23" t="s">
        <v>10</v>
      </c>
      <c r="I1" s="21" t="s">
        <v>11</v>
      </c>
      <c r="J1" s="21" t="s">
        <v>12</v>
      </c>
      <c r="K1" s="22" t="s">
        <v>13</v>
      </c>
      <c r="L1" s="22" t="s">
        <v>18</v>
      </c>
      <c r="M1" s="21" t="s">
        <v>16</v>
      </c>
      <c r="N1" s="21" t="s">
        <v>17</v>
      </c>
      <c r="O1" s="22" t="s">
        <v>23</v>
      </c>
      <c r="P1" s="22" t="s">
        <v>24</v>
      </c>
      <c r="Q1" s="22" t="s">
        <v>25</v>
      </c>
    </row>
    <row r="2" spans="1:17" s="4" customFormat="1" x14ac:dyDescent="0.3">
      <c r="A2" s="3"/>
      <c r="D2" s="5"/>
      <c r="E2" s="6"/>
      <c r="F2" s="5"/>
      <c r="G2" s="7"/>
      <c r="H2" s="7"/>
      <c r="I2" s="7"/>
      <c r="J2" s="5"/>
      <c r="L2" s="5"/>
      <c r="P2" s="5"/>
      <c r="Q2" s="9"/>
    </row>
    <row r="3" spans="1:17" s="4" customFormat="1" x14ac:dyDescent="0.3">
      <c r="A3" s="3"/>
      <c r="D3" s="5"/>
      <c r="E3" s="6"/>
      <c r="F3" s="5"/>
      <c r="G3" s="7"/>
      <c r="H3" s="7"/>
      <c r="I3" s="7"/>
      <c r="J3" s="5"/>
      <c r="L3" s="5"/>
      <c r="P3" s="5"/>
    </row>
    <row r="4" spans="1:17" s="4" customFormat="1" x14ac:dyDescent="0.3">
      <c r="A4" s="3"/>
      <c r="D4" s="5"/>
      <c r="E4" s="6"/>
      <c r="F4" s="5"/>
      <c r="G4" s="7"/>
      <c r="H4" s="7"/>
      <c r="I4" s="7"/>
      <c r="J4" s="5"/>
      <c r="L4" s="5"/>
      <c r="P4" s="5"/>
      <c r="Q4" s="10"/>
    </row>
    <row r="5" spans="1:17" s="4" customFormat="1" x14ac:dyDescent="0.3">
      <c r="A5" s="3"/>
      <c r="D5" s="5"/>
      <c r="E5" s="6"/>
      <c r="F5" s="5"/>
      <c r="G5" s="7"/>
      <c r="H5" s="7"/>
      <c r="I5" s="7"/>
      <c r="J5" s="5"/>
      <c r="L5" s="5"/>
      <c r="P5" s="5"/>
      <c r="Q5" s="9"/>
    </row>
    <row r="6" spans="1:17" s="4" customFormat="1" x14ac:dyDescent="0.3">
      <c r="A6" s="3"/>
      <c r="D6" s="5"/>
      <c r="E6" s="6"/>
      <c r="F6" s="5"/>
      <c r="G6" s="7"/>
      <c r="H6" s="7"/>
      <c r="I6" s="7"/>
      <c r="J6" s="5"/>
      <c r="L6" s="5"/>
      <c r="P6" s="5"/>
    </row>
    <row r="7" spans="1:17" s="4" customFormat="1" x14ac:dyDescent="0.3">
      <c r="A7" s="3"/>
      <c r="D7" s="5"/>
      <c r="E7" s="6"/>
      <c r="F7" s="5"/>
      <c r="G7" s="7"/>
      <c r="H7" s="7"/>
      <c r="I7" s="7"/>
      <c r="J7" s="5"/>
      <c r="L7" s="5"/>
      <c r="P7" s="5"/>
      <c r="Q7" s="8"/>
    </row>
    <row r="8" spans="1:17" s="4" customFormat="1" x14ac:dyDescent="0.3">
      <c r="A8" s="3"/>
      <c r="D8" s="5"/>
      <c r="E8" s="6"/>
      <c r="F8" s="5"/>
      <c r="G8" s="7"/>
      <c r="H8" s="7"/>
      <c r="I8" s="7"/>
      <c r="J8" s="5"/>
      <c r="L8" s="5"/>
      <c r="P8" s="5"/>
    </row>
    <row r="9" spans="1:17" s="4" customFormat="1" x14ac:dyDescent="0.3">
      <c r="A9" s="3"/>
      <c r="D9" s="5"/>
      <c r="E9" s="6"/>
      <c r="F9" s="5"/>
      <c r="G9" s="7"/>
      <c r="H9" s="7"/>
      <c r="I9" s="7"/>
      <c r="J9" s="5"/>
      <c r="L9" s="5"/>
      <c r="P9" s="5"/>
      <c r="Q9" s="9"/>
    </row>
    <row r="10" spans="1:17" s="4" customFormat="1" x14ac:dyDescent="0.3">
      <c r="A10" s="3"/>
      <c r="D10" s="5"/>
      <c r="E10" s="6"/>
      <c r="F10" s="5"/>
      <c r="G10" s="7"/>
      <c r="H10" s="7"/>
      <c r="I10" s="7"/>
      <c r="J10" s="5"/>
      <c r="L10" s="5"/>
      <c r="P10" s="5"/>
      <c r="Q10" s="9"/>
    </row>
    <row r="11" spans="1:17" s="4" customFormat="1" x14ac:dyDescent="0.3">
      <c r="A11" s="3"/>
      <c r="D11" s="5"/>
      <c r="E11" s="6"/>
      <c r="F11" s="5"/>
      <c r="G11" s="7"/>
      <c r="H11" s="7"/>
      <c r="I11" s="7"/>
      <c r="J11" s="5"/>
      <c r="L11" s="5"/>
      <c r="P11" s="5"/>
      <c r="Q11" s="9"/>
    </row>
    <row r="12" spans="1:17" s="4" customFormat="1" x14ac:dyDescent="0.3">
      <c r="A12" s="3"/>
      <c r="D12" s="5"/>
      <c r="E12" s="6"/>
      <c r="F12" s="5"/>
      <c r="G12" s="7"/>
      <c r="H12" s="7"/>
      <c r="I12" s="7"/>
      <c r="J12" s="5"/>
      <c r="L12" s="5"/>
      <c r="P12" s="5"/>
      <c r="Q12" s="10"/>
    </row>
    <row r="13" spans="1:17" s="4" customFormat="1" x14ac:dyDescent="0.3">
      <c r="A13" s="3"/>
      <c r="D13" s="5"/>
      <c r="E13" s="6"/>
      <c r="F13" s="5"/>
      <c r="G13" s="7"/>
      <c r="H13" s="7"/>
      <c r="I13" s="7"/>
      <c r="J13" s="5"/>
      <c r="L13" s="5"/>
      <c r="P13" s="5"/>
      <c r="Q13" s="10"/>
    </row>
    <row r="14" spans="1:17" s="4" customFormat="1" x14ac:dyDescent="0.3">
      <c r="A14" s="3"/>
      <c r="D14" s="5"/>
      <c r="E14" s="6"/>
      <c r="F14" s="5"/>
      <c r="G14" s="7"/>
      <c r="H14" s="7"/>
      <c r="I14" s="7"/>
      <c r="J14" s="5"/>
      <c r="L14" s="5"/>
      <c r="P14" s="5"/>
    </row>
    <row r="15" spans="1:17" s="4" customFormat="1" x14ac:dyDescent="0.3">
      <c r="A15" s="3"/>
      <c r="D15" s="5"/>
      <c r="E15" s="6"/>
      <c r="F15" s="5"/>
      <c r="G15" s="7"/>
      <c r="H15" s="7"/>
      <c r="I15" s="7"/>
      <c r="J15" s="5"/>
      <c r="L15" s="5"/>
      <c r="P15" s="5"/>
      <c r="Q15" s="9"/>
    </row>
    <row r="16" spans="1:17" s="4" customFormat="1" x14ac:dyDescent="0.3">
      <c r="A16" s="3"/>
      <c r="D16" s="5"/>
      <c r="E16" s="6"/>
      <c r="F16" s="5"/>
      <c r="G16" s="7"/>
      <c r="H16" s="7"/>
      <c r="I16" s="7"/>
      <c r="J16" s="5"/>
      <c r="L16" s="5"/>
      <c r="P16" s="5"/>
      <c r="Q16" s="9"/>
    </row>
    <row r="17" spans="1:17" s="4" customFormat="1" x14ac:dyDescent="0.3">
      <c r="A17" s="3"/>
      <c r="D17" s="5"/>
      <c r="E17" s="6"/>
      <c r="F17" s="5"/>
      <c r="G17" s="7"/>
      <c r="H17" s="7"/>
      <c r="I17" s="7"/>
      <c r="J17" s="5"/>
      <c r="L17" s="5"/>
      <c r="P17" s="5"/>
      <c r="Q17" s="9"/>
    </row>
    <row r="18" spans="1:17" s="4" customFormat="1" x14ac:dyDescent="0.3">
      <c r="A18" s="3"/>
      <c r="D18" s="5"/>
      <c r="E18" s="6"/>
      <c r="F18" s="5"/>
      <c r="G18" s="7"/>
      <c r="H18" s="7"/>
      <c r="I18" s="7"/>
      <c r="J18" s="5"/>
      <c r="L18" s="5"/>
      <c r="P18" s="5"/>
      <c r="Q18" s="9"/>
    </row>
    <row r="19" spans="1:17" s="4" customFormat="1" x14ac:dyDescent="0.3">
      <c r="A19" s="3"/>
      <c r="D19" s="5"/>
      <c r="E19" s="6"/>
      <c r="F19" s="5"/>
      <c r="G19" s="7"/>
      <c r="H19" s="7"/>
      <c r="I19" s="7"/>
      <c r="J19" s="5"/>
      <c r="L19" s="5"/>
      <c r="P19" s="5"/>
      <c r="Q19" s="9"/>
    </row>
    <row r="20" spans="1:17" s="4" customFormat="1" x14ac:dyDescent="0.3">
      <c r="A20" s="3"/>
      <c r="D20" s="5"/>
      <c r="E20" s="6"/>
      <c r="F20" s="5"/>
      <c r="G20" s="7"/>
      <c r="H20" s="7"/>
      <c r="I20" s="7"/>
      <c r="J20" s="5"/>
      <c r="L20" s="5"/>
      <c r="P20" s="5"/>
      <c r="Q20" s="9"/>
    </row>
    <row r="21" spans="1:17" s="4" customFormat="1" x14ac:dyDescent="0.3">
      <c r="A21" s="3"/>
      <c r="D21" s="5"/>
      <c r="E21" s="6"/>
      <c r="F21" s="5"/>
      <c r="G21" s="7"/>
      <c r="H21" s="7"/>
      <c r="I21" s="7"/>
      <c r="J21" s="5"/>
      <c r="L21" s="5"/>
      <c r="P21" s="5"/>
      <c r="Q21" s="9"/>
    </row>
    <row r="22" spans="1:17" s="4" customFormat="1" x14ac:dyDescent="0.3">
      <c r="A22" s="3"/>
      <c r="D22" s="5"/>
      <c r="E22" s="6"/>
      <c r="F22" s="5"/>
      <c r="G22" s="7"/>
      <c r="H22" s="7"/>
      <c r="I22" s="7"/>
      <c r="J22" s="5"/>
      <c r="L22" s="5"/>
      <c r="P22" s="5"/>
      <c r="Q22" s="9"/>
    </row>
    <row r="23" spans="1:17" s="4" customFormat="1" x14ac:dyDescent="0.3">
      <c r="A23" s="3"/>
      <c r="D23" s="5"/>
      <c r="E23" s="6"/>
      <c r="F23" s="5"/>
      <c r="G23" s="7"/>
      <c r="H23" s="7"/>
      <c r="I23" s="7"/>
      <c r="J23" s="5"/>
      <c r="L23" s="5"/>
      <c r="P23" s="5"/>
      <c r="Q23" s="9"/>
    </row>
    <row r="24" spans="1:17" s="4" customFormat="1" x14ac:dyDescent="0.3">
      <c r="A24" s="3"/>
      <c r="D24" s="5"/>
      <c r="E24" s="6"/>
      <c r="F24" s="5"/>
      <c r="G24" s="7"/>
      <c r="H24" s="7"/>
      <c r="I24" s="7"/>
      <c r="J24" s="5"/>
      <c r="L24" s="5"/>
      <c r="P24" s="5"/>
      <c r="Q24" s="9"/>
    </row>
    <row r="25" spans="1:17" s="4" customFormat="1" x14ac:dyDescent="0.3">
      <c r="A25" s="3"/>
      <c r="D25" s="5"/>
      <c r="E25" s="6"/>
      <c r="F25" s="5"/>
      <c r="G25" s="7"/>
      <c r="H25" s="7"/>
      <c r="I25" s="7"/>
      <c r="J25" s="5"/>
      <c r="L25" s="5"/>
      <c r="P25" s="5"/>
    </row>
    <row r="26" spans="1:17" s="4" customFormat="1" x14ac:dyDescent="0.3">
      <c r="A26" s="3"/>
      <c r="D26" s="5"/>
      <c r="E26" s="6"/>
      <c r="F26" s="5"/>
      <c r="G26" s="7"/>
      <c r="H26" s="7"/>
      <c r="I26" s="7"/>
      <c r="J26" s="5"/>
      <c r="L26" s="5"/>
      <c r="P26" s="5"/>
    </row>
    <row r="27" spans="1:17" s="4" customFormat="1" x14ac:dyDescent="0.3">
      <c r="A27" s="3"/>
      <c r="D27" s="5"/>
      <c r="E27" s="6"/>
      <c r="F27" s="5"/>
      <c r="G27" s="7"/>
      <c r="H27" s="7"/>
      <c r="I27" s="7"/>
      <c r="J27" s="5"/>
      <c r="L27" s="5"/>
      <c r="P27" s="5"/>
    </row>
    <row r="28" spans="1:17" s="4" customFormat="1" x14ac:dyDescent="0.3">
      <c r="A28" s="3"/>
      <c r="D28" s="5"/>
      <c r="E28" s="6"/>
      <c r="F28" s="5"/>
      <c r="G28" s="7"/>
      <c r="H28" s="7"/>
      <c r="I28" s="7"/>
      <c r="J28" s="5"/>
      <c r="L28" s="5"/>
      <c r="P28" s="5"/>
    </row>
    <row r="29" spans="1:17" s="4" customFormat="1" x14ac:dyDescent="0.3">
      <c r="A29" s="3"/>
      <c r="D29" s="5"/>
      <c r="E29" s="6"/>
      <c r="F29" s="5"/>
      <c r="G29" s="7"/>
      <c r="H29" s="7"/>
      <c r="I29" s="7"/>
      <c r="J29" s="5"/>
      <c r="L29" s="5"/>
      <c r="P29" s="5"/>
    </row>
    <row r="30" spans="1:17" x14ac:dyDescent="0.3">
      <c r="G30" s="14"/>
      <c r="H30" s="14"/>
      <c r="I30" s="14"/>
    </row>
    <row r="31" spans="1:17" x14ac:dyDescent="0.3">
      <c r="G31" s="14"/>
      <c r="H31" s="14"/>
      <c r="I31" s="14"/>
    </row>
    <row r="32" spans="1:17" x14ac:dyDescent="0.3">
      <c r="G32" s="14"/>
      <c r="H32" s="14"/>
      <c r="I32" s="14"/>
    </row>
    <row r="33" spans="7:9" x14ac:dyDescent="0.3">
      <c r="G33" s="14"/>
      <c r="H33" s="14"/>
      <c r="I33" s="14"/>
    </row>
    <row r="34" spans="7:9" x14ac:dyDescent="0.3">
      <c r="G34" s="14"/>
      <c r="H34" s="14"/>
      <c r="I34" s="14"/>
    </row>
    <row r="35" spans="7:9" x14ac:dyDescent="0.3">
      <c r="G35" s="14"/>
      <c r="H35" s="14"/>
      <c r="I35" s="14"/>
    </row>
    <row r="36" spans="7:9" x14ac:dyDescent="0.3">
      <c r="G36" s="14"/>
      <c r="H36" s="14"/>
      <c r="I36" s="14"/>
    </row>
    <row r="37" spans="7:9" x14ac:dyDescent="0.3">
      <c r="G37" s="14"/>
      <c r="H37" s="14"/>
      <c r="I37" s="14"/>
    </row>
    <row r="38" spans="7:9" x14ac:dyDescent="0.3">
      <c r="G38" s="14"/>
      <c r="H38" s="14"/>
      <c r="I38" s="14"/>
    </row>
    <row r="39" spans="7:9" x14ac:dyDescent="0.3">
      <c r="G39" s="14"/>
      <c r="H39" s="14"/>
      <c r="I39" s="14"/>
    </row>
    <row r="40" spans="7:9" x14ac:dyDescent="0.3">
      <c r="G40" s="14"/>
      <c r="H40" s="14"/>
      <c r="I40" s="14"/>
    </row>
    <row r="41" spans="7:9" x14ac:dyDescent="0.3">
      <c r="G41" s="14"/>
      <c r="H41" s="14"/>
      <c r="I41" s="14"/>
    </row>
    <row r="42" spans="7:9" x14ac:dyDescent="0.3">
      <c r="G42" s="14"/>
      <c r="H42" s="14"/>
      <c r="I42" s="14"/>
    </row>
    <row r="43" spans="7:9" x14ac:dyDescent="0.3">
      <c r="G43" s="14"/>
      <c r="H43" s="14"/>
      <c r="I43" s="14"/>
    </row>
    <row r="44" spans="7:9" x14ac:dyDescent="0.3">
      <c r="G44" s="14"/>
      <c r="H44" s="14"/>
      <c r="I44" s="14"/>
    </row>
    <row r="45" spans="7:9" x14ac:dyDescent="0.3">
      <c r="G45" s="14"/>
      <c r="H45" s="14"/>
      <c r="I45" s="14"/>
    </row>
    <row r="46" spans="7:9" x14ac:dyDescent="0.3">
      <c r="G46" s="14"/>
      <c r="H46" s="14"/>
      <c r="I46" s="14"/>
    </row>
    <row r="47" spans="7:9" x14ac:dyDescent="0.3">
      <c r="G47" s="14"/>
      <c r="H47" s="14"/>
      <c r="I47" s="14"/>
    </row>
    <row r="48" spans="7:9" x14ac:dyDescent="0.3">
      <c r="G48" s="14"/>
      <c r="H48" s="14"/>
      <c r="I48" s="14"/>
    </row>
    <row r="49" spans="7:9" x14ac:dyDescent="0.3">
      <c r="G49" s="14"/>
      <c r="H49" s="14"/>
      <c r="I49" s="14"/>
    </row>
    <row r="50" spans="7:9" x14ac:dyDescent="0.3">
      <c r="G50" s="14"/>
      <c r="H50" s="14"/>
      <c r="I50" s="14"/>
    </row>
    <row r="51" spans="7:9" x14ac:dyDescent="0.3">
      <c r="G51" s="14"/>
      <c r="H51" s="14"/>
      <c r="I51" s="14"/>
    </row>
    <row r="52" spans="7:9" x14ac:dyDescent="0.3">
      <c r="G52" s="14"/>
      <c r="H52" s="14"/>
      <c r="I52" s="14"/>
    </row>
    <row r="53" spans="7:9" x14ac:dyDescent="0.3">
      <c r="G53" s="14"/>
      <c r="H53" s="14"/>
      <c r="I53" s="14"/>
    </row>
    <row r="54" spans="7:9" x14ac:dyDescent="0.3">
      <c r="G54" s="14"/>
      <c r="H54" s="14"/>
      <c r="I54" s="14"/>
    </row>
    <row r="55" spans="7:9" x14ac:dyDescent="0.3">
      <c r="G55" s="14"/>
      <c r="H55" s="14"/>
      <c r="I55" s="14"/>
    </row>
    <row r="56" spans="7:9" x14ac:dyDescent="0.3">
      <c r="G56" s="14"/>
      <c r="H56" s="14"/>
      <c r="I56" s="14"/>
    </row>
    <row r="57" spans="7:9" x14ac:dyDescent="0.3">
      <c r="G57" s="14"/>
      <c r="H57" s="14"/>
      <c r="I57" s="14"/>
    </row>
    <row r="58" spans="7:9" x14ac:dyDescent="0.3">
      <c r="G58" s="14"/>
      <c r="H58" s="14"/>
      <c r="I58" s="14"/>
    </row>
    <row r="59" spans="7:9" x14ac:dyDescent="0.3">
      <c r="G59" s="14"/>
      <c r="H59" s="14"/>
      <c r="I59" s="14"/>
    </row>
    <row r="60" spans="7:9" x14ac:dyDescent="0.3">
      <c r="G60" s="14"/>
      <c r="H60" s="14"/>
      <c r="I60" s="14"/>
    </row>
    <row r="61" spans="7:9" x14ac:dyDescent="0.3">
      <c r="G61" s="14"/>
      <c r="H61" s="14"/>
      <c r="I61" s="14"/>
    </row>
    <row r="62" spans="7:9" x14ac:dyDescent="0.3">
      <c r="G62" s="14"/>
      <c r="H62" s="14"/>
      <c r="I62" s="14"/>
    </row>
    <row r="63" spans="7:9" x14ac:dyDescent="0.3">
      <c r="G63" s="14"/>
      <c r="H63" s="14"/>
      <c r="I63" s="14"/>
    </row>
    <row r="64" spans="7:9" x14ac:dyDescent="0.3">
      <c r="G64" s="14"/>
      <c r="H64" s="14"/>
      <c r="I64" s="14"/>
    </row>
    <row r="65" spans="7:9" x14ac:dyDescent="0.3">
      <c r="G65" s="14"/>
      <c r="H65" s="14"/>
      <c r="I65" s="14"/>
    </row>
    <row r="66" spans="7:9" x14ac:dyDescent="0.3">
      <c r="G66" s="14"/>
      <c r="H66" s="14"/>
      <c r="I66" s="14"/>
    </row>
    <row r="67" spans="7:9" x14ac:dyDescent="0.3">
      <c r="G67" s="14"/>
      <c r="H67" s="14"/>
      <c r="I67" s="14"/>
    </row>
    <row r="68" spans="7:9" x14ac:dyDescent="0.3">
      <c r="G68" s="14"/>
      <c r="H68" s="14"/>
      <c r="I68" s="14"/>
    </row>
    <row r="69" spans="7:9" x14ac:dyDescent="0.3">
      <c r="G69" s="14"/>
      <c r="H69" s="14"/>
      <c r="I69" s="14"/>
    </row>
    <row r="70" spans="7:9" x14ac:dyDescent="0.3">
      <c r="G70" s="14"/>
      <c r="H70" s="14"/>
      <c r="I70" s="14"/>
    </row>
    <row r="71" spans="7:9" x14ac:dyDescent="0.3">
      <c r="G71" s="14"/>
      <c r="H71" s="14"/>
      <c r="I71" s="14"/>
    </row>
    <row r="72" spans="7:9" x14ac:dyDescent="0.3">
      <c r="G72" s="14"/>
      <c r="H72" s="14"/>
      <c r="I72" s="14"/>
    </row>
    <row r="73" spans="7:9" x14ac:dyDescent="0.3">
      <c r="G73" s="14"/>
      <c r="H73" s="14"/>
      <c r="I73" s="14"/>
    </row>
    <row r="74" spans="7:9" x14ac:dyDescent="0.3">
      <c r="G74" s="14"/>
      <c r="H74" s="14"/>
      <c r="I74" s="14"/>
    </row>
    <row r="75" spans="7:9" x14ac:dyDescent="0.3">
      <c r="G75" s="14"/>
      <c r="H75" s="14"/>
      <c r="I75" s="14"/>
    </row>
    <row r="76" spans="7:9" x14ac:dyDescent="0.3">
      <c r="G76" s="14"/>
      <c r="H76" s="14"/>
      <c r="I76" s="14"/>
    </row>
    <row r="77" spans="7:9" x14ac:dyDescent="0.3">
      <c r="G77" s="14"/>
      <c r="H77" s="14"/>
      <c r="I77" s="14"/>
    </row>
    <row r="78" spans="7:9" x14ac:dyDescent="0.3">
      <c r="G78" s="14"/>
      <c r="H78" s="14"/>
      <c r="I78" s="14"/>
    </row>
    <row r="79" spans="7:9" x14ac:dyDescent="0.3">
      <c r="G79" s="14"/>
      <c r="H79" s="14"/>
      <c r="I79" s="14"/>
    </row>
    <row r="80" spans="7:9" x14ac:dyDescent="0.3">
      <c r="G80" s="14"/>
      <c r="H80" s="14"/>
      <c r="I80" s="14"/>
    </row>
    <row r="81" spans="7:9" x14ac:dyDescent="0.3">
      <c r="G81" s="14"/>
      <c r="H81" s="14"/>
      <c r="I81" s="14"/>
    </row>
    <row r="82" spans="7:9" x14ac:dyDescent="0.3">
      <c r="G82" s="14"/>
      <c r="H82" s="14"/>
      <c r="I82" s="14"/>
    </row>
    <row r="83" spans="7:9" x14ac:dyDescent="0.3">
      <c r="G83" s="14"/>
      <c r="H83" s="14"/>
      <c r="I83" s="14"/>
    </row>
    <row r="84" spans="7:9" x14ac:dyDescent="0.3">
      <c r="G84" s="14"/>
      <c r="H84" s="14"/>
      <c r="I84" s="14"/>
    </row>
    <row r="85" spans="7:9" x14ac:dyDescent="0.3">
      <c r="G85" s="14"/>
      <c r="H85" s="14"/>
      <c r="I85" s="14"/>
    </row>
    <row r="86" spans="7:9" x14ac:dyDescent="0.3">
      <c r="G86" s="14"/>
      <c r="H86" s="14"/>
      <c r="I86" s="14"/>
    </row>
    <row r="87" spans="7:9" x14ac:dyDescent="0.3">
      <c r="G87" s="14"/>
      <c r="H87" s="14"/>
      <c r="I87" s="14"/>
    </row>
    <row r="88" spans="7:9" x14ac:dyDescent="0.3">
      <c r="G88" s="14"/>
      <c r="H88" s="14"/>
      <c r="I88" s="14"/>
    </row>
    <row r="89" spans="7:9" x14ac:dyDescent="0.3">
      <c r="G89" s="14"/>
      <c r="H89" s="14"/>
      <c r="I89" s="14"/>
    </row>
    <row r="90" spans="7:9" x14ac:dyDescent="0.3">
      <c r="G90" s="14"/>
      <c r="H90" s="14"/>
      <c r="I90" s="14"/>
    </row>
    <row r="91" spans="7:9" x14ac:dyDescent="0.3">
      <c r="G91" s="14"/>
      <c r="H91" s="14"/>
      <c r="I91" s="14"/>
    </row>
    <row r="92" spans="7:9" x14ac:dyDescent="0.3">
      <c r="G92" s="14"/>
      <c r="H92" s="14"/>
      <c r="I92" s="14"/>
    </row>
    <row r="93" spans="7:9" x14ac:dyDescent="0.3">
      <c r="G93" s="14"/>
      <c r="H93" s="14"/>
      <c r="I93" s="14"/>
    </row>
    <row r="94" spans="7:9" x14ac:dyDescent="0.3">
      <c r="G94" s="14"/>
      <c r="H94" s="14"/>
      <c r="I94" s="14"/>
    </row>
  </sheetData>
  <conditionalFormatting sqref="F2:F1048576">
    <cfRule type="cellIs" dxfId="9" priority="3" operator="between">
      <formula>15</formula>
      <formula>2000</formula>
    </cfRule>
    <cfRule type="cellIs" dxfId="8" priority="4" operator="between">
      <formula>6</formula>
      <formula>15</formula>
    </cfRule>
    <cfRule type="cellIs" dxfId="7" priority="5" operator="between">
      <formula>0</formula>
      <formula>5</formula>
    </cfRule>
  </conditionalFormatting>
  <conditionalFormatting sqref="L2:L1048576">
    <cfRule type="containsText" dxfId="6" priority="11" operator="containsText" text="PENDIENTE">
      <formula>NOT(ISERROR(SEARCH("PENDIENTE",L2)))</formula>
    </cfRule>
    <cfRule type="containsText" dxfId="5" priority="12" operator="containsText" text="ENTREGADO">
      <formula>NOT(ISERROR(SEARCH("ENTREGADO",L2)))</formula>
    </cfRule>
  </conditionalFormatting>
  <conditionalFormatting sqref="M2:M1048576">
    <cfRule type="containsText" dxfId="4" priority="6" operator="containsText" text="AJUSTE">
      <formula>NOT(ISERROR(SEARCH("AJUSTE",M2)))</formula>
    </cfRule>
    <cfRule type="containsText" dxfId="3" priority="7" operator="containsText" text="TEMA CLIENTE">
      <formula>NOT(ISERROR(SEARCH("TEMA CLIENTE",M2)))</formula>
    </cfRule>
    <cfRule type="containsText" dxfId="2" priority="8" operator="containsText" text="TRÁNSITO">
      <formula>NOT(ISERROR(SEARCH("TRÁNSITO",M2)))</formula>
    </cfRule>
    <cfRule type="containsText" dxfId="1" priority="9" operator="containsText" text="POR COBRAR">
      <formula>NOT(ISERROR(SEARCH("POR COBRAR",M2)))</formula>
    </cfRule>
    <cfRule type="containsText" dxfId="0" priority="10" operator="containsText" text="COBRABLE">
      <formula>NOT(ISERROR(SEARCH("COBRABLE",M2)))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Dani</vt:lpstr>
      <vt:lpstr>ALEJANDRA</vt:lpstr>
      <vt:lpstr>CYNTHIA</vt:lpstr>
      <vt:lpstr>ROBERTO</vt:lpstr>
      <vt:lpstr>Isela</vt:lpstr>
      <vt:lpstr>Rodrigo</vt:lpstr>
      <vt:lpstr>Hoja1</vt:lpstr>
      <vt:lpstr>JESUS</vt:lpstr>
      <vt:lpstr>Pendientes</vt:lpstr>
      <vt:lpstr>Esther</vt:lpstr>
      <vt:lpstr>Sandra</vt:lpstr>
      <vt:lpstr>Mauro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Gzz</dc:creator>
  <cp:lastModifiedBy>Webmaster Espacios Web</cp:lastModifiedBy>
  <dcterms:created xsi:type="dcterms:W3CDTF">2015-06-05T18:19:34Z</dcterms:created>
  <dcterms:modified xsi:type="dcterms:W3CDTF">2026-09-23T03:33:40Z</dcterms:modified>
</cp:coreProperties>
</file>